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45A977C9-7D3F-41B4-AC87-513836D305F6}" xr6:coauthVersionLast="47" xr6:coauthVersionMax="47" xr10:uidLastSave="{00000000-0000-0000-0000-000000000000}"/>
  <bookViews>
    <workbookView xWindow="28680" yWindow="690" windowWidth="29040" windowHeight="15720" tabRatio="915" xr2:uid="{23B941FF-2603-41E2-B58F-B1D0DC3E08C6}"/>
  </bookViews>
  <sheets>
    <sheet name="Balance" sheetId="1" r:id="rId1"/>
    <sheet name="Misselaneos " sheetId="2" r:id="rId2"/>
    <sheet name="Eventos" sheetId="3" r:id="rId3"/>
    <sheet name="Sheet2" sheetId="30" r:id="rId4"/>
  </sheets>
  <definedNames>
    <definedName name="_xlnm._FilterDatabase" localSheetId="2" hidden="1">Eventos!$A$1:$G$58</definedName>
    <definedName name="_xlnm._FilterDatabase" localSheetId="1" hidden="1">'Misselaneos '!$A$2:$E$4125</definedName>
    <definedName name="_xlnm._FilterDatabase" localSheetId="3" hidden="1">Sheet2!$C$5:$F$17</definedName>
    <definedName name="_TAR1">'Misselaneos '!$P$3</definedName>
    <definedName name="_TAR2">'Misselaneos '!$P$4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B5" i="2"/>
  <c r="B4" i="2"/>
  <c r="E19" i="30"/>
  <c r="E20" i="30" s="1"/>
  <c r="B3" i="2"/>
  <c r="H9" i="30"/>
  <c r="H6" i="30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F43" i="1"/>
  <c r="H3" i="2"/>
  <c r="O3" i="2" s="1"/>
  <c r="G1" i="1"/>
  <c r="G44" i="1" s="1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F25" i="1"/>
  <c r="D24" i="3"/>
  <c r="D22" i="3"/>
  <c r="D25" i="3"/>
  <c r="D23" i="3"/>
  <c r="D21" i="3"/>
  <c r="D2" i="3"/>
  <c r="C2" i="3" s="1"/>
  <c r="D3" i="3"/>
  <c r="C3" i="3" s="1"/>
  <c r="D4" i="3"/>
  <c r="C4" i="3" s="1"/>
  <c r="D5" i="3"/>
  <c r="C5" i="3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H1" i="2"/>
  <c r="F1" i="2" s="1"/>
  <c r="H4" i="2"/>
  <c r="H5" i="2"/>
  <c r="P5" i="2"/>
  <c r="Q5" i="2"/>
  <c r="G17" i="2"/>
  <c r="G18" i="2"/>
  <c r="G19" i="2"/>
  <c r="G20" i="2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S3" i="1"/>
  <c r="G4" i="1"/>
  <c r="H4" i="1"/>
  <c r="G7" i="1"/>
  <c r="H7" i="1" s="1"/>
  <c r="G10" i="1"/>
  <c r="H10" i="1" s="1"/>
  <c r="D13" i="1"/>
  <c r="I13" i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D14" i="1"/>
  <c r="A23" i="1"/>
  <c r="F24" i="1"/>
  <c r="K24" i="1"/>
  <c r="O24" i="1"/>
  <c r="P24" i="1"/>
  <c r="R24" i="1"/>
  <c r="T24" i="1"/>
  <c r="V24" i="1"/>
  <c r="X24" i="1"/>
  <c r="AA24" i="1"/>
  <c r="A25" i="1"/>
  <c r="A33" i="1"/>
  <c r="A34" i="1"/>
  <c r="A35" i="1"/>
  <c r="A36" i="1"/>
  <c r="A39" i="1"/>
  <c r="A41" i="1"/>
  <c r="A42" i="1"/>
  <c r="A43" i="1"/>
  <c r="G43" i="1"/>
  <c r="P43" i="1"/>
  <c r="Q43" i="1"/>
  <c r="R43" i="1"/>
  <c r="S43" i="1"/>
  <c r="T43" i="1"/>
  <c r="U43" i="1"/>
  <c r="V43" i="1"/>
  <c r="W43" i="1"/>
  <c r="X43" i="1"/>
  <c r="Y43" i="1"/>
  <c r="Z43" i="1"/>
  <c r="AA43" i="1"/>
  <c r="A44" i="1"/>
  <c r="A52" i="1"/>
  <c r="A31" i="1"/>
  <c r="M24" i="1"/>
  <c r="Z24" i="1"/>
  <c r="A28" i="1"/>
  <c r="A30" i="1"/>
  <c r="A29" i="1"/>
  <c r="A37" i="1"/>
  <c r="F55" i="1"/>
  <c r="H24" i="1"/>
  <c r="I24" i="1"/>
  <c r="L24" i="1"/>
  <c r="Q24" i="1"/>
  <c r="U24" i="1"/>
  <c r="Y24" i="1"/>
  <c r="F36" i="1"/>
  <c r="F44" i="1"/>
  <c r="I4" i="1" l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G55" i="1"/>
  <c r="G36" i="1"/>
  <c r="G25" i="1"/>
  <c r="G24" i="1" s="1"/>
  <c r="H1" i="1"/>
  <c r="K3" i="2"/>
  <c r="N3" i="2" s="1"/>
  <c r="K4" i="2"/>
  <c r="N4" i="2" s="1"/>
  <c r="O4" i="2"/>
  <c r="G44" i="2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AX58" i="1"/>
  <c r="A26" i="1"/>
  <c r="K5" i="2"/>
  <c r="H25" i="1"/>
  <c r="AS58" i="1"/>
  <c r="H57" i="1"/>
  <c r="F57" i="1"/>
  <c r="G57" i="1"/>
  <c r="Q58" i="1"/>
  <c r="AK58" i="1"/>
  <c r="U58" i="1"/>
  <c r="H58" i="1"/>
  <c r="N58" i="1"/>
  <c r="AQ58" i="1"/>
  <c r="AA58" i="1"/>
  <c r="AV58" i="1"/>
  <c r="M58" i="1"/>
  <c r="L58" i="1"/>
  <c r="AF58" i="1"/>
  <c r="AZ58" i="1"/>
  <c r="Y58" i="1"/>
  <c r="AW58" i="1"/>
  <c r="AI58" i="1"/>
  <c r="AR58" i="1"/>
  <c r="AT58" i="1"/>
  <c r="BA58" i="1"/>
  <c r="AB58" i="1"/>
  <c r="AP58" i="1"/>
  <c r="AY58" i="1"/>
  <c r="AG58" i="1"/>
  <c r="AU58" i="1"/>
  <c r="AN58" i="1"/>
  <c r="O58" i="1"/>
  <c r="BH58" i="1"/>
  <c r="R58" i="1"/>
  <c r="BI58" i="1"/>
  <c r="AC58" i="1"/>
  <c r="X58" i="1"/>
  <c r="Z58" i="1"/>
  <c r="S58" i="1"/>
  <c r="BF58" i="1"/>
  <c r="AM58" i="1"/>
  <c r="BJ58" i="1"/>
  <c r="V58" i="1"/>
  <c r="BD58" i="1"/>
  <c r="AE58" i="1"/>
  <c r="AD58" i="1"/>
  <c r="G58" i="1"/>
  <c r="AJ58" i="1"/>
  <c r="BE58" i="1"/>
  <c r="T58" i="1"/>
  <c r="AL58" i="1"/>
  <c r="W58" i="1"/>
  <c r="AH58" i="1"/>
  <c r="K58" i="1"/>
  <c r="BB58" i="1"/>
  <c r="BG58" i="1"/>
  <c r="J58" i="1"/>
  <c r="AO58" i="1"/>
  <c r="P58" i="1"/>
  <c r="F58" i="1"/>
  <c r="I58" i="1"/>
  <c r="BC58" i="1"/>
  <c r="H44" i="1" l="1"/>
  <c r="H43" i="1" s="1"/>
  <c r="H55" i="1"/>
  <c r="I1" i="1"/>
  <c r="H36" i="1"/>
  <c r="A27" i="1"/>
  <c r="A38" i="1"/>
  <c r="G60" i="1"/>
  <c r="A45" i="1"/>
  <c r="F60" i="1"/>
  <c r="H60" i="1"/>
  <c r="I44" i="1" l="1"/>
  <c r="I43" i="1" s="1"/>
  <c r="J1" i="1"/>
  <c r="I57" i="1"/>
  <c r="I55" i="1"/>
  <c r="I36" i="1"/>
  <c r="I25" i="1"/>
  <c r="A46" i="1"/>
  <c r="G61" i="1"/>
  <c r="F61" i="1"/>
  <c r="H61" i="1"/>
  <c r="I60" i="1" l="1"/>
  <c r="I61" i="1" s="1"/>
  <c r="J57" i="1"/>
  <c r="K1" i="1"/>
  <c r="J36" i="1"/>
  <c r="J25" i="1"/>
  <c r="J24" i="1" s="1"/>
  <c r="J44" i="1"/>
  <c r="J43" i="1" s="1"/>
  <c r="J55" i="1"/>
  <c r="A48" i="1"/>
  <c r="A47" i="1"/>
  <c r="A49" i="1" s="1"/>
  <c r="J60" i="1" l="1"/>
  <c r="K36" i="1"/>
  <c r="K25" i="1"/>
  <c r="K44" i="1"/>
  <c r="K43" i="1" s="1"/>
  <c r="K55" i="1"/>
  <c r="L1" i="1"/>
  <c r="K57" i="1"/>
  <c r="A50" i="1"/>
  <c r="A51" i="1" s="1"/>
  <c r="H43" i="2" s="1"/>
  <c r="K60" i="1" l="1"/>
  <c r="L25" i="1"/>
  <c r="L55" i="1"/>
  <c r="M1" i="1"/>
  <c r="L36" i="1"/>
  <c r="L44" i="1"/>
  <c r="L43" i="1" s="1"/>
  <c r="L57" i="1"/>
  <c r="J61" i="1"/>
  <c r="K61" i="1"/>
  <c r="L60" i="1" l="1"/>
  <c r="L61" i="1" s="1"/>
  <c r="N1" i="1"/>
  <c r="M55" i="1"/>
  <c r="M36" i="1"/>
  <c r="M44" i="1"/>
  <c r="M43" i="1" s="1"/>
  <c r="M57" i="1"/>
  <c r="M60" i="1" l="1"/>
  <c r="M61" i="1" s="1"/>
  <c r="N36" i="1"/>
  <c r="N44" i="1"/>
  <c r="N43" i="1" s="1"/>
  <c r="O1" i="1"/>
  <c r="N57" i="1"/>
  <c r="N25" i="1"/>
  <c r="N24" i="1" s="1"/>
  <c r="N55" i="1"/>
  <c r="O25" i="1" l="1"/>
  <c r="O44" i="1"/>
  <c r="O43" i="1" s="1"/>
  <c r="O36" i="1"/>
  <c r="P1" i="1"/>
  <c r="O55" i="1"/>
  <c r="O57" i="1"/>
  <c r="N60" i="1"/>
  <c r="N61" i="1" s="1"/>
  <c r="O60" i="1" l="1"/>
  <c r="P25" i="1"/>
  <c r="P36" i="1"/>
  <c r="P55" i="1"/>
  <c r="Q1" i="1"/>
  <c r="P57" i="1"/>
  <c r="P44" i="1"/>
  <c r="P60" i="1" l="1"/>
  <c r="R1" i="1"/>
  <c r="Q25" i="1"/>
  <c r="Q55" i="1"/>
  <c r="Q36" i="1"/>
  <c r="Q44" i="1"/>
  <c r="Q57" i="1"/>
  <c r="O61" i="1"/>
  <c r="P61" i="1"/>
  <c r="R57" i="1" l="1"/>
  <c r="R44" i="1"/>
  <c r="R25" i="1"/>
  <c r="S1" i="1"/>
  <c r="R55" i="1"/>
  <c r="R36" i="1"/>
  <c r="Q60" i="1"/>
  <c r="Q61" i="1" l="1"/>
  <c r="S57" i="1"/>
  <c r="S36" i="1"/>
  <c r="S55" i="1"/>
  <c r="T1" i="1"/>
  <c r="S44" i="1"/>
  <c r="S25" i="1"/>
  <c r="S24" i="1" s="1"/>
  <c r="R60" i="1"/>
  <c r="S60" i="1" l="1"/>
  <c r="S61" i="1" s="1"/>
  <c r="U1" i="1"/>
  <c r="T44" i="1"/>
  <c r="T55" i="1"/>
  <c r="T25" i="1"/>
  <c r="T36" i="1"/>
  <c r="T57" i="1"/>
  <c r="T60" i="1" s="1"/>
  <c r="T61" i="1" s="1"/>
  <c r="R61" i="1"/>
  <c r="U55" i="1" l="1"/>
  <c r="U25" i="1"/>
  <c r="U36" i="1"/>
  <c r="V1" i="1"/>
  <c r="U44" i="1"/>
  <c r="U57" i="1"/>
  <c r="U60" i="1" l="1"/>
  <c r="U61" i="1" s="1"/>
  <c r="V44" i="1"/>
  <c r="V57" i="1"/>
  <c r="V60" i="1" s="1"/>
  <c r="V61" i="1" s="1"/>
  <c r="W1" i="1"/>
  <c r="V36" i="1"/>
  <c r="V55" i="1"/>
  <c r="V25" i="1"/>
  <c r="W25" i="1" l="1"/>
  <c r="W24" i="1" s="1"/>
  <c r="W55" i="1"/>
  <c r="W36" i="1"/>
  <c r="W57" i="1"/>
  <c r="X1" i="1"/>
  <c r="W44" i="1"/>
  <c r="X25" i="1" l="1"/>
  <c r="X55" i="1"/>
  <c r="Y1" i="1"/>
  <c r="X44" i="1"/>
  <c r="X36" i="1"/>
  <c r="X57" i="1"/>
  <c r="X60" i="1" s="1"/>
  <c r="W60" i="1"/>
  <c r="W61" i="1" s="1"/>
  <c r="X61" i="1" l="1"/>
  <c r="Y57" i="1"/>
  <c r="Y25" i="1"/>
  <c r="Z1" i="1"/>
  <c r="Y36" i="1"/>
  <c r="Y44" i="1"/>
  <c r="Y55" i="1"/>
  <c r="Z57" i="1" l="1"/>
  <c r="Z60" i="1" s="1"/>
  <c r="Z61" i="1" s="1"/>
  <c r="Z55" i="1"/>
  <c r="Z44" i="1"/>
  <c r="AA1" i="1"/>
  <c r="Z36" i="1"/>
  <c r="Z25" i="1"/>
  <c r="Y60" i="1"/>
  <c r="Y61" i="1" s="1"/>
  <c r="AA55" i="1" l="1"/>
  <c r="AB1" i="1"/>
  <c r="AA44" i="1"/>
  <c r="AA36" i="1"/>
  <c r="AA25" i="1"/>
  <c r="AA57" i="1"/>
  <c r="AA60" i="1" l="1"/>
  <c r="AA61" i="1" s="1"/>
  <c r="AB36" i="1"/>
  <c r="AB25" i="1"/>
  <c r="AB57" i="1"/>
  <c r="AC1" i="1"/>
  <c r="AB44" i="1"/>
  <c r="AB55" i="1"/>
  <c r="AC44" i="1" l="1"/>
  <c r="AC55" i="1"/>
  <c r="AC36" i="1"/>
  <c r="AC25" i="1"/>
  <c r="AD1" i="1"/>
  <c r="AC57" i="1"/>
  <c r="AC60" i="1" s="1"/>
  <c r="AB60" i="1"/>
  <c r="AB61" i="1" s="1"/>
  <c r="AC61" i="1" l="1"/>
  <c r="AD44" i="1"/>
  <c r="AD25" i="1"/>
  <c r="AD55" i="1"/>
  <c r="AE1" i="1"/>
  <c r="AD36" i="1"/>
  <c r="AD57" i="1"/>
  <c r="AD60" i="1" s="1"/>
  <c r="AD61" i="1" s="1"/>
  <c r="AE55" i="1" l="1"/>
  <c r="AE44" i="1"/>
  <c r="AE25" i="1"/>
  <c r="AE36" i="1"/>
  <c r="AE57" i="1"/>
  <c r="AE60" i="1" s="1"/>
  <c r="AE61" i="1" s="1"/>
  <c r="AF1" i="1"/>
  <c r="AF44" i="1" l="1"/>
  <c r="AF36" i="1"/>
  <c r="AF25" i="1"/>
  <c r="AG1" i="1"/>
  <c r="AF55" i="1"/>
  <c r="AF57" i="1"/>
  <c r="AF60" i="1" s="1"/>
  <c r="AF61" i="1" s="1"/>
  <c r="AH1" i="1" l="1"/>
  <c r="AG44" i="1"/>
  <c r="AG36" i="1"/>
  <c r="AG57" i="1"/>
  <c r="AG55" i="1"/>
  <c r="AG25" i="1"/>
  <c r="AG60" i="1" l="1"/>
  <c r="AG61" i="1" s="1"/>
  <c r="AH44" i="1"/>
  <c r="AH25" i="1"/>
  <c r="AH55" i="1"/>
  <c r="AH57" i="1"/>
  <c r="AI1" i="1"/>
  <c r="AH36" i="1"/>
  <c r="AI44" i="1" l="1"/>
  <c r="AJ1" i="1"/>
  <c r="AI25" i="1"/>
  <c r="AI36" i="1"/>
  <c r="AI57" i="1"/>
  <c r="AI60" i="1" s="1"/>
  <c r="AI55" i="1"/>
  <c r="AH60" i="1"/>
  <c r="AH61" i="1" s="1"/>
  <c r="AI61" i="1" l="1"/>
  <c r="AK1" i="1"/>
  <c r="AJ57" i="1"/>
  <c r="AJ36" i="1"/>
  <c r="AJ44" i="1"/>
  <c r="AJ55" i="1"/>
  <c r="AJ25" i="1"/>
  <c r="AJ60" i="1" l="1"/>
  <c r="AJ61" i="1" s="1"/>
  <c r="AK36" i="1"/>
  <c r="AL1" i="1"/>
  <c r="AK44" i="1"/>
  <c r="AK55" i="1"/>
  <c r="AK57" i="1"/>
  <c r="AK60" i="1" s="1"/>
  <c r="AK61" i="1" s="1"/>
  <c r="AK25" i="1"/>
  <c r="AL55" i="1" l="1"/>
  <c r="AL44" i="1"/>
  <c r="AM1" i="1"/>
  <c r="AL25" i="1"/>
  <c r="AL57" i="1"/>
  <c r="AL36" i="1"/>
  <c r="AL60" i="1" l="1"/>
  <c r="AL61" i="1" s="1"/>
  <c r="AN1" i="1"/>
  <c r="AM44" i="1"/>
  <c r="AM25" i="1"/>
  <c r="AM55" i="1"/>
  <c r="AM36" i="1"/>
  <c r="AM57" i="1"/>
  <c r="AM60" i="1" s="1"/>
  <c r="AM61" i="1" s="1"/>
  <c r="AO1" i="1" l="1"/>
  <c r="AN44" i="1"/>
  <c r="AN36" i="1"/>
  <c r="AN55" i="1"/>
  <c r="AN57" i="1"/>
  <c r="AN60" i="1" s="1"/>
  <c r="AN61" i="1" s="1"/>
  <c r="AN25" i="1"/>
  <c r="AO44" i="1" l="1"/>
  <c r="AP1" i="1"/>
  <c r="AO55" i="1"/>
  <c r="AO25" i="1"/>
  <c r="AO36" i="1"/>
  <c r="AO57" i="1"/>
  <c r="AO60" i="1" s="1"/>
  <c r="AO61" i="1" s="1"/>
  <c r="AP55" i="1" l="1"/>
  <c r="AQ1" i="1"/>
  <c r="AP25" i="1"/>
  <c r="AP36" i="1"/>
  <c r="AP44" i="1"/>
  <c r="AP57" i="1"/>
  <c r="AR1" i="1" l="1"/>
  <c r="AQ36" i="1"/>
  <c r="AQ57" i="1"/>
  <c r="AQ25" i="1"/>
  <c r="AQ55" i="1"/>
  <c r="AQ44" i="1"/>
  <c r="AP60" i="1"/>
  <c r="AP61" i="1" s="1"/>
  <c r="AQ60" i="1" l="1"/>
  <c r="AQ61" i="1" s="1"/>
  <c r="AR55" i="1"/>
  <c r="AR36" i="1"/>
  <c r="AR44" i="1"/>
  <c r="AR25" i="1"/>
  <c r="AS1" i="1"/>
  <c r="AR57" i="1"/>
  <c r="AR60" i="1" s="1"/>
  <c r="AR61" i="1" s="1"/>
  <c r="AS44" i="1" l="1"/>
  <c r="AT1" i="1"/>
  <c r="AS25" i="1"/>
  <c r="AS36" i="1"/>
  <c r="AS55" i="1"/>
  <c r="AS57" i="1"/>
  <c r="AT36" i="1" l="1"/>
  <c r="AT44" i="1"/>
  <c r="AT25" i="1"/>
  <c r="AT57" i="1"/>
  <c r="AU1" i="1"/>
  <c r="AT55" i="1"/>
  <c r="AS60" i="1"/>
  <c r="AS61" i="1" s="1"/>
  <c r="AT60" i="1" l="1"/>
  <c r="AT61" i="1" s="1"/>
  <c r="AU25" i="1"/>
  <c r="AU55" i="1"/>
  <c r="AU36" i="1"/>
  <c r="AU44" i="1"/>
  <c r="AV1" i="1"/>
  <c r="AU57" i="1"/>
  <c r="AU60" i="1" l="1"/>
  <c r="AU61" i="1" s="1"/>
  <c r="AV25" i="1"/>
  <c r="AV36" i="1"/>
  <c r="AW1" i="1"/>
  <c r="AV44" i="1"/>
  <c r="AV57" i="1"/>
  <c r="AV55" i="1"/>
  <c r="AV60" i="1" l="1"/>
  <c r="AV61" i="1" s="1"/>
  <c r="AW25" i="1"/>
  <c r="AW44" i="1"/>
  <c r="AW57" i="1"/>
  <c r="AW55" i="1"/>
  <c r="AX1" i="1"/>
  <c r="AW36" i="1"/>
  <c r="AX55" i="1" l="1"/>
  <c r="AX44" i="1"/>
  <c r="AX36" i="1"/>
  <c r="AX25" i="1"/>
  <c r="AY1" i="1"/>
  <c r="AX57" i="1"/>
  <c r="AX60" i="1" s="1"/>
  <c r="AW60" i="1"/>
  <c r="AW61" i="1" s="1"/>
  <c r="AX61" i="1" l="1"/>
  <c r="AY25" i="1"/>
  <c r="AY44" i="1"/>
  <c r="AY36" i="1"/>
  <c r="AZ1" i="1"/>
  <c r="AY55" i="1"/>
  <c r="AY57" i="1"/>
  <c r="AY60" i="1" s="1"/>
  <c r="AY61" i="1" s="1"/>
  <c r="AZ36" i="1" l="1"/>
  <c r="AZ25" i="1"/>
  <c r="AZ55" i="1"/>
  <c r="AZ44" i="1"/>
  <c r="AZ57" i="1"/>
  <c r="AZ60" i="1" s="1"/>
  <c r="AZ61" i="1" s="1"/>
  <c r="BA1" i="1"/>
  <c r="BA44" i="1" l="1"/>
  <c r="BA36" i="1"/>
  <c r="BA25" i="1"/>
  <c r="BA55" i="1"/>
  <c r="BB1" i="1"/>
  <c r="BA57" i="1"/>
  <c r="BA60" i="1" l="1"/>
  <c r="BA61" i="1" s="1"/>
  <c r="BC1" i="1"/>
  <c r="BB25" i="1"/>
  <c r="BB44" i="1"/>
  <c r="BB36" i="1"/>
  <c r="BB55" i="1"/>
  <c r="BB57" i="1"/>
  <c r="BB60" i="1" s="1"/>
  <c r="BB61" i="1" s="1"/>
  <c r="BC44" i="1" l="1"/>
  <c r="BC36" i="1"/>
  <c r="BC25" i="1"/>
  <c r="BC55" i="1"/>
  <c r="BD1" i="1"/>
  <c r="BC57" i="1"/>
  <c r="BC60" i="1" s="1"/>
  <c r="BC61" i="1" s="1"/>
  <c r="BD44" i="1" l="1"/>
  <c r="BE1" i="1"/>
  <c r="BD57" i="1"/>
  <c r="BD36" i="1"/>
  <c r="BD55" i="1"/>
  <c r="BD25" i="1"/>
  <c r="BE36" i="1" l="1"/>
  <c r="BE55" i="1"/>
  <c r="BE44" i="1"/>
  <c r="BE25" i="1"/>
  <c r="BE57" i="1"/>
  <c r="BE60" i="1" s="1"/>
  <c r="BF1" i="1"/>
  <c r="BD60" i="1"/>
  <c r="BD61" i="1" s="1"/>
  <c r="BE61" i="1" l="1"/>
  <c r="BF44" i="1"/>
  <c r="BG1" i="1"/>
  <c r="BF36" i="1"/>
  <c r="BF25" i="1"/>
  <c r="BF57" i="1"/>
  <c r="BF55" i="1"/>
  <c r="BF60" i="1" l="1"/>
  <c r="BF61" i="1" s="1"/>
  <c r="BG36" i="1"/>
  <c r="BG55" i="1"/>
  <c r="BG44" i="1"/>
  <c r="BH1" i="1"/>
  <c r="BG57" i="1"/>
  <c r="BG60" i="1" s="1"/>
  <c r="BG61" i="1" s="1"/>
  <c r="BG25" i="1"/>
  <c r="BH25" i="1" l="1"/>
  <c r="BH57" i="1"/>
  <c r="BI1" i="1"/>
  <c r="BH55" i="1"/>
  <c r="BH44" i="1"/>
  <c r="BH36" i="1"/>
  <c r="BJ1" i="1" l="1"/>
  <c r="BI25" i="1"/>
  <c r="BI44" i="1"/>
  <c r="BI55" i="1"/>
  <c r="BI57" i="1"/>
  <c r="BI36" i="1"/>
  <c r="BH60" i="1"/>
  <c r="BH61" i="1" s="1"/>
  <c r="BI60" i="1" l="1"/>
  <c r="BI61" i="1" s="1"/>
  <c r="E43" i="1"/>
  <c r="BJ25" i="1"/>
  <c r="BJ44" i="1"/>
  <c r="BJ57" i="1"/>
  <c r="M3" i="2"/>
  <c r="Q3" i="2" s="1"/>
  <c r="T3" i="2" s="1"/>
  <c r="L4" i="2"/>
  <c r="P4" i="2" s="1"/>
  <c r="E35" i="1" s="1"/>
  <c r="L3" i="2"/>
  <c r="P3" i="2" s="1"/>
  <c r="E23" i="1" s="1"/>
  <c r="BJ36" i="1"/>
  <c r="BJ55" i="1"/>
  <c r="M4" i="2"/>
  <c r="Q4" i="2" s="1"/>
  <c r="BJ60" i="1" l="1"/>
  <c r="BJ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smendez</author>
  </authors>
  <commentList>
    <comment ref="S3" authorId="0" shapeId="0" xr:uid="{BC495DE7-5761-483B-B5D0-6D9480164C2D}">
      <text>
        <r>
          <rPr>
            <b/>
            <sz val="9"/>
            <color indexed="81"/>
            <rFont val="Tahoma"/>
            <family val="2"/>
          </rPr>
          <t>Bono 3 Semanas</t>
        </r>
      </text>
    </comment>
    <comment ref="AA3" authorId="0" shapeId="0" xr:uid="{5F0DB9A1-936D-4F8C-8463-DEFA9B33CCDF}">
      <text>
        <r>
          <rPr>
            <b/>
            <sz val="9"/>
            <color indexed="81"/>
            <rFont val="Tahoma"/>
            <family val="2"/>
          </rPr>
          <t>Ahorrar 30,000 de los income de Diciembre</t>
        </r>
      </text>
    </comment>
  </commentList>
</comments>
</file>

<file path=xl/sharedStrings.xml><?xml version="1.0" encoding="utf-8"?>
<sst xmlns="http://schemas.openxmlformats.org/spreadsheetml/2006/main" count="114" uniqueCount="67">
  <si>
    <t>Parametros</t>
  </si>
  <si>
    <t>Ingresos</t>
  </si>
  <si>
    <t>Wacoal</t>
  </si>
  <si>
    <t>Tarjeta de Credito</t>
  </si>
  <si>
    <t>Cuenta de Debito</t>
  </si>
  <si>
    <t>Banco Popular</t>
  </si>
  <si>
    <t>Balance</t>
  </si>
  <si>
    <t>Bal. Acum.</t>
  </si>
  <si>
    <t>Fecha</t>
  </si>
  <si>
    <t>We</t>
  </si>
  <si>
    <t>Concepto</t>
  </si>
  <si>
    <t>Monto</t>
  </si>
  <si>
    <t>Actual</t>
  </si>
  <si>
    <t>Plan</t>
  </si>
  <si>
    <t>Presupuesto</t>
  </si>
  <si>
    <t>Eventos</t>
  </si>
  <si>
    <t>Metodo de pago</t>
  </si>
  <si>
    <t>Dia</t>
  </si>
  <si>
    <t>Mes</t>
  </si>
  <si>
    <t>Prox</t>
  </si>
  <si>
    <t>Cash</t>
  </si>
  <si>
    <t>Otros</t>
  </si>
  <si>
    <t>Re-Embolso</t>
  </si>
  <si>
    <t>Ahorros</t>
  </si>
  <si>
    <t>Prestamos</t>
  </si>
  <si>
    <t>Resort</t>
  </si>
  <si>
    <t>Certificado</t>
  </si>
  <si>
    <t>Deposito Extra</t>
  </si>
  <si>
    <t>Cuentas</t>
  </si>
  <si>
    <t>Creditos</t>
  </si>
  <si>
    <t>Debitos</t>
  </si>
  <si>
    <t>Proximo</t>
  </si>
  <si>
    <t>Corte</t>
  </si>
  <si>
    <t>A la Fecha</t>
  </si>
  <si>
    <t>Al Corte</t>
  </si>
  <si>
    <t>Corta</t>
  </si>
  <si>
    <t>Balance al</t>
  </si>
  <si>
    <t>Dias de</t>
  </si>
  <si>
    <t>Plazo</t>
  </si>
  <si>
    <t>Dia de</t>
  </si>
  <si>
    <t>Gastos</t>
  </si>
  <si>
    <t>Dif. Plan Vs. Act.</t>
  </si>
  <si>
    <t>Apap</t>
  </si>
  <si>
    <t>Luz</t>
  </si>
  <si>
    <t>BR</t>
  </si>
  <si>
    <t>Diferencia plan</t>
  </si>
  <si>
    <t>.</t>
  </si>
  <si>
    <t>luz</t>
  </si>
  <si>
    <t>cuadre</t>
  </si>
  <si>
    <t>fecha de compromiso</t>
  </si>
  <si>
    <t>apap</t>
  </si>
  <si>
    <t>mantenimiento</t>
  </si>
  <si>
    <t>banco popular</t>
  </si>
  <si>
    <t>renta</t>
  </si>
  <si>
    <t>cell</t>
  </si>
  <si>
    <t>APAP</t>
  </si>
  <si>
    <t>Salon</t>
  </si>
  <si>
    <t>Transporte</t>
  </si>
  <si>
    <t>Transporte 1</t>
  </si>
  <si>
    <t>Transporte 2</t>
  </si>
  <si>
    <t>Transporte 3</t>
  </si>
  <si>
    <t>Transporte 4</t>
  </si>
  <si>
    <t>diversion</t>
  </si>
  <si>
    <t>dia de reyes</t>
  </si>
  <si>
    <t>dia de la amistad</t>
  </si>
  <si>
    <t>semana santa</t>
  </si>
  <si>
    <t>cumple de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</si>
</sst>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409]d\-mmm;@"/>
    <numFmt numFmtId="166" formatCode="_(* #,##0.0_);_(* \(#,##0.0\);_(* &quot;-&quot;??_);_(@_)"/>
    <numFmt numFmtId="167" formatCode="_(* #,##0_);_(* \(#,##0\);_(* &quot;-&quot;??_);_(@_)"/>
    <numFmt numFmtId="168" formatCode="m/d;@"/>
  </numFmts>
  <fonts count="20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41">
    <xf numFmtId="0" fontId="0" fillId="0" borderId="0" xfId="0"/>
    <xf numFmtId="0" fontId="0" fillId="2" borderId="0" xfId="0" applyFill="1"/>
    <xf numFmtId="0" fontId="0" fillId="2" borderId="26" xfId="0" applyFill="1" applyBorder="1"/>
    <xf numFmtId="3" fontId="0" fillId="2" borderId="26" xfId="0" applyNumberFormat="1" applyFill="1" applyBorder="1"/>
    <xf numFmtId="0" fontId="8" fillId="2" borderId="0" xfId="0" applyFont="1" applyFill="1"/>
    <xf numFmtId="0" fontId="0" fillId="2" borderId="27" xfId="0" applyFill="1" applyBorder="1"/>
    <xf numFmtId="0" fontId="6" fillId="2" borderId="27" xfId="0" applyFont="1" applyFill="1" applyBorder="1"/>
    <xf numFmtId="16" fontId="8" fillId="2" borderId="28" xfId="0" applyNumberFormat="1" applyFont="1" applyFill="1" applyBorder="1" applyAlignment="1">
      <alignment horizontal="center"/>
    </xf>
    <xf numFmtId="16" fontId="0" fillId="2" borderId="1" xfId="0" applyNumberFormat="1" applyFill="1" applyBorder="1"/>
    <xf numFmtId="0" fontId="0" fillId="2" borderId="1" xfId="0" applyFill="1" applyBorder="1"/>
    <xf numFmtId="164" fontId="3" fillId="2" borderId="1" xfId="2" applyNumberFormat="1" applyFont="1" applyFill="1" applyBorder="1"/>
    <xf numFmtId="0" fontId="8" fillId="2" borderId="27" xfId="0" applyFont="1" applyFill="1" applyBorder="1"/>
    <xf numFmtId="0" fontId="9" fillId="2" borderId="0" xfId="0" applyFont="1" applyFill="1"/>
    <xf numFmtId="164" fontId="9" fillId="2" borderId="0" xfId="2" applyNumberFormat="1" applyFont="1" applyFill="1"/>
    <xf numFmtId="0" fontId="9" fillId="2" borderId="0" xfId="0" applyFont="1" applyFill="1" applyAlignment="1">
      <alignment horizont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6" fillId="2" borderId="0" xfId="0" applyFont="1" applyFill="1"/>
    <xf numFmtId="10" fontId="0" fillId="2" borderId="0" xfId="0" applyNumberFormat="1" applyFill="1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165" fontId="9" fillId="2" borderId="0" xfId="0" applyNumberFormat="1" applyFont="1" applyFill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6" fillId="2" borderId="10" xfId="0" applyFont="1" applyFill="1" applyBorder="1"/>
    <xf numFmtId="0" fontId="0" fillId="2" borderId="10" xfId="0" applyFill="1" applyBorder="1"/>
    <xf numFmtId="167" fontId="10" fillId="2" borderId="26" xfId="1" applyNumberFormat="1" applyFont="1" applyFill="1" applyBorder="1"/>
    <xf numFmtId="167" fontId="10" fillId="2" borderId="0" xfId="1" applyNumberFormat="1" applyFont="1" applyFill="1" applyBorder="1"/>
    <xf numFmtId="167" fontId="11" fillId="2" borderId="0" xfId="1" applyNumberFormat="1" applyFont="1" applyFill="1" applyBorder="1" applyAlignment="1">
      <alignment horizontal="center"/>
    </xf>
    <xf numFmtId="167" fontId="10" fillId="2" borderId="0" xfId="1" applyNumberFormat="1" applyFont="1" applyFill="1"/>
    <xf numFmtId="0" fontId="10" fillId="2" borderId="0" xfId="0" applyFont="1" applyFill="1"/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68" fontId="0" fillId="2" borderId="0" xfId="0" applyNumberFormat="1" applyFill="1"/>
    <xf numFmtId="3" fontId="0" fillId="2" borderId="26" xfId="0" applyNumberFormat="1" applyFill="1" applyBorder="1" applyProtection="1">
      <protection locked="0"/>
    </xf>
    <xf numFmtId="0" fontId="12" fillId="2" borderId="0" xfId="0" applyFont="1" applyFill="1"/>
    <xf numFmtId="0" fontId="0" fillId="2" borderId="13" xfId="0" applyFill="1" applyBorder="1"/>
    <xf numFmtId="0" fontId="0" fillId="2" borderId="14" xfId="0" applyFill="1" applyBorder="1"/>
    <xf numFmtId="0" fontId="8" fillId="2" borderId="14" xfId="0" applyFont="1" applyFill="1" applyBorder="1"/>
    <xf numFmtId="3" fontId="0" fillId="2" borderId="29" xfId="0" applyNumberFormat="1" applyFill="1" applyBorder="1"/>
    <xf numFmtId="167" fontId="13" fillId="2" borderId="14" xfId="0" applyNumberFormat="1" applyFont="1" applyFill="1" applyBorder="1"/>
    <xf numFmtId="16" fontId="14" fillId="2" borderId="28" xfId="0" applyNumberFormat="1" applyFont="1" applyFill="1" applyBorder="1" applyAlignment="1">
      <alignment horizontal="center"/>
    </xf>
    <xf numFmtId="3" fontId="7" fillId="2" borderId="26" xfId="0" applyNumberFormat="1" applyFont="1" applyFill="1" applyBorder="1"/>
    <xf numFmtId="167" fontId="10" fillId="4" borderId="0" xfId="1" applyNumberFormat="1" applyFont="1" applyFill="1" applyBorder="1" applyProtection="1"/>
    <xf numFmtId="167" fontId="10" fillId="4" borderId="13" xfId="1" applyNumberFormat="1" applyFont="1" applyFill="1" applyBorder="1" applyProtection="1">
      <protection locked="0"/>
    </xf>
    <xf numFmtId="166" fontId="10" fillId="4" borderId="0" xfId="1" applyNumberFormat="1" applyFont="1" applyFill="1" applyBorder="1" applyProtection="1"/>
    <xf numFmtId="167" fontId="11" fillId="4" borderId="28" xfId="1" applyNumberFormat="1" applyFont="1" applyFill="1" applyBorder="1" applyAlignment="1">
      <alignment horizontal="center"/>
    </xf>
    <xf numFmtId="0" fontId="13" fillId="5" borderId="0" xfId="0" applyFont="1" applyFill="1" applyProtection="1">
      <protection locked="0"/>
    </xf>
    <xf numFmtId="0" fontId="13" fillId="6" borderId="0" xfId="0" applyFont="1" applyFill="1" applyProtection="1">
      <protection locked="0"/>
    </xf>
    <xf numFmtId="0" fontId="10" fillId="4" borderId="0" xfId="0" applyFont="1" applyFill="1"/>
    <xf numFmtId="0" fontId="13" fillId="4" borderId="13" xfId="0" applyFont="1" applyFill="1" applyBorder="1"/>
    <xf numFmtId="0" fontId="0" fillId="4" borderId="13" xfId="0" applyFill="1" applyBorder="1"/>
    <xf numFmtId="0" fontId="15" fillId="4" borderId="13" xfId="0" applyFont="1" applyFill="1" applyBorder="1"/>
    <xf numFmtId="0" fontId="0" fillId="4" borderId="0" xfId="0" applyFill="1"/>
    <xf numFmtId="0" fontId="0" fillId="5" borderId="0" xfId="0" applyFill="1"/>
    <xf numFmtId="0" fontId="13" fillId="5" borderId="0" xfId="0" applyFont="1" applyFill="1"/>
    <xf numFmtId="16" fontId="0" fillId="4" borderId="1" xfId="0" applyNumberFormat="1" applyFill="1" applyBorder="1"/>
    <xf numFmtId="0" fontId="6" fillId="7" borderId="15" xfId="0" applyFont="1" applyFill="1" applyBorder="1"/>
    <xf numFmtId="0" fontId="0" fillId="7" borderId="16" xfId="0" applyFill="1" applyBorder="1"/>
    <xf numFmtId="0" fontId="6" fillId="7" borderId="17" xfId="0" applyFont="1" applyFill="1" applyBorder="1"/>
    <xf numFmtId="0" fontId="6" fillId="7" borderId="18" xfId="0" applyFont="1" applyFill="1" applyBorder="1"/>
    <xf numFmtId="0" fontId="6" fillId="7" borderId="14" xfId="0" applyFont="1" applyFill="1" applyBorder="1"/>
    <xf numFmtId="0" fontId="6" fillId="7" borderId="19" xfId="0" applyFont="1" applyFill="1" applyBorder="1"/>
    <xf numFmtId="0" fontId="9" fillId="4" borderId="0" xfId="0" applyFont="1" applyFill="1" applyAlignment="1">
      <alignment horizontal="center"/>
    </xf>
    <xf numFmtId="0" fontId="9" fillId="4" borderId="0" xfId="0" applyFont="1" applyFill="1"/>
    <xf numFmtId="164" fontId="5" fillId="4" borderId="2" xfId="2" applyNumberFormat="1" applyFont="1" applyFill="1" applyBorder="1" applyAlignment="1">
      <alignment horizontal="center"/>
    </xf>
    <xf numFmtId="16" fontId="0" fillId="4" borderId="20" xfId="0" applyNumberForma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4" borderId="3" xfId="0" applyFill="1" applyBorder="1"/>
    <xf numFmtId="16" fontId="6" fillId="4" borderId="22" xfId="0" applyNumberFormat="1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165" fontId="9" fillId="4" borderId="0" xfId="0" applyNumberFormat="1" applyFont="1" applyFill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4" fillId="3" borderId="1" xfId="0" applyFont="1" applyFill="1" applyBorder="1"/>
    <xf numFmtId="164" fontId="4" fillId="3" borderId="1" xfId="2" applyNumberFormat="1" applyFont="1" applyFill="1" applyBorder="1"/>
    <xf numFmtId="0" fontId="16" fillId="3" borderId="24" xfId="0" applyFont="1" applyFill="1" applyBorder="1"/>
    <xf numFmtId="164" fontId="16" fillId="3" borderId="24" xfId="2" applyNumberFormat="1" applyFont="1" applyFill="1" applyBorder="1"/>
    <xf numFmtId="0" fontId="0" fillId="4" borderId="10" xfId="0" applyFill="1" applyBorder="1" applyAlignment="1">
      <alignment horizontal="left"/>
    </xf>
    <xf numFmtId="0" fontId="0" fillId="4" borderId="10" xfId="0" applyFill="1" applyBorder="1"/>
    <xf numFmtId="0" fontId="0" fillId="8" borderId="10" xfId="0" applyFill="1" applyBorder="1"/>
    <xf numFmtId="14" fontId="9" fillId="2" borderId="0" xfId="0" applyNumberFormat="1" applyFont="1" applyFill="1" applyAlignment="1">
      <alignment horizontal="center"/>
    </xf>
    <xf numFmtId="3" fontId="0" fillId="2" borderId="26" xfId="0" applyNumberFormat="1" applyFill="1" applyBorder="1" applyAlignment="1" applyProtection="1">
      <alignment horizontal="center"/>
      <protection locked="0"/>
    </xf>
    <xf numFmtId="167" fontId="10" fillId="2" borderId="0" xfId="1" applyNumberFormat="1" applyFont="1" applyFill="1" applyProtection="1">
      <protection locked="0"/>
    </xf>
    <xf numFmtId="3" fontId="9" fillId="2" borderId="26" xfId="0" applyNumberFormat="1" applyFont="1" applyFill="1" applyBorder="1"/>
    <xf numFmtId="167" fontId="10" fillId="2" borderId="14" xfId="1" applyNumberFormat="1" applyFont="1" applyFill="1" applyBorder="1" applyProtection="1">
      <protection locked="0"/>
    </xf>
    <xf numFmtId="167" fontId="17" fillId="2" borderId="0" xfId="1" applyNumberFormat="1" applyFont="1" applyFill="1" applyBorder="1" applyProtection="1">
      <protection locked="0"/>
    </xf>
    <xf numFmtId="3" fontId="0" fillId="2" borderId="0" xfId="0" applyNumberFormat="1" applyFill="1"/>
    <xf numFmtId="0" fontId="8" fillId="2" borderId="10" xfId="0" applyFont="1" applyFill="1" applyBorder="1"/>
    <xf numFmtId="167" fontId="11" fillId="2" borderId="10" xfId="1" applyNumberFormat="1" applyFont="1" applyFill="1" applyBorder="1" applyProtection="1">
      <protection locked="0"/>
    </xf>
    <xf numFmtId="3" fontId="8" fillId="2" borderId="10" xfId="0" applyNumberFormat="1" applyFont="1" applyFill="1" applyBorder="1"/>
    <xf numFmtId="0" fontId="0" fillId="2" borderId="0" xfId="0" applyFill="1" applyAlignment="1">
      <alignment horizontal="center"/>
    </xf>
    <xf numFmtId="167" fontId="11" fillId="2" borderId="0" xfId="1" applyNumberFormat="1" applyFont="1" applyFill="1" applyBorder="1"/>
    <xf numFmtId="167" fontId="0" fillId="2" borderId="0" xfId="0" applyNumberFormat="1" applyFill="1"/>
    <xf numFmtId="3" fontId="0" fillId="2" borderId="26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6" fontId="9" fillId="2" borderId="1" xfId="0" applyNumberFormat="1" applyFont="1" applyFill="1" applyBorder="1"/>
    <xf numFmtId="43" fontId="9" fillId="2" borderId="0" xfId="1" applyFont="1" applyFill="1"/>
    <xf numFmtId="16" fontId="9" fillId="2" borderId="0" xfId="0" applyNumberFormat="1" applyFont="1" applyFill="1" applyAlignment="1">
      <alignment horizontal="center"/>
    </xf>
    <xf numFmtId="0" fontId="4" fillId="3" borderId="1" xfId="0" applyFont="1" applyFill="1" applyBorder="1" applyProtection="1">
      <protection locked="0"/>
    </xf>
    <xf numFmtId="0" fontId="16" fillId="3" borderId="24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164" fontId="9" fillId="2" borderId="0" xfId="0" applyNumberFormat="1" applyFont="1" applyFill="1"/>
    <xf numFmtId="167" fontId="10" fillId="2" borderId="0" xfId="1" applyNumberFormat="1" applyFont="1" applyFill="1" applyBorder="1" applyProtection="1"/>
    <xf numFmtId="167" fontId="9" fillId="2" borderId="0" xfId="1" applyNumberFormat="1" applyFont="1" applyFill="1"/>
    <xf numFmtId="0" fontId="18" fillId="2" borderId="0" xfId="0" applyFont="1" applyFill="1"/>
    <xf numFmtId="3" fontId="9" fillId="2" borderId="26" xfId="0" applyNumberFormat="1" applyFont="1" applyFill="1" applyBorder="1" applyProtection="1">
      <protection locked="0"/>
    </xf>
    <xf numFmtId="3" fontId="0" fillId="2" borderId="30" xfId="0" applyNumberFormat="1" applyFill="1" applyBorder="1"/>
    <xf numFmtId="3" fontId="0" fillId="9" borderId="26" xfId="0" applyNumberFormat="1" applyFill="1" applyBorder="1" applyProtection="1">
      <protection locked="0"/>
    </xf>
    <xf numFmtId="164" fontId="9" fillId="9" borderId="0" xfId="2" applyNumberFormat="1" applyFont="1" applyFill="1"/>
    <xf numFmtId="3" fontId="0" fillId="2" borderId="29" xfId="0" applyNumberFormat="1" applyFill="1" applyBorder="1" applyAlignment="1">
      <alignment horizontal="center"/>
    </xf>
    <xf numFmtId="3" fontId="9" fillId="2" borderId="30" xfId="0" applyNumberFormat="1" applyFont="1" applyFill="1" applyBorder="1"/>
    <xf numFmtId="167" fontId="0" fillId="2" borderId="26" xfId="0" applyNumberFormat="1" applyFill="1" applyBorder="1"/>
    <xf numFmtId="3" fontId="9" fillId="10" borderId="26" xfId="0" applyNumberFormat="1" applyFont="1" applyFill="1" applyBorder="1" applyProtection="1">
      <protection locked="0"/>
    </xf>
    <xf numFmtId="16" fontId="8" fillId="11" borderId="28" xfId="0" applyNumberFormat="1" applyFont="1" applyFill="1" applyBorder="1" applyAlignment="1">
      <alignment horizontal="center"/>
    </xf>
    <xf numFmtId="3" fontId="0" fillId="11" borderId="26" xfId="0" applyNumberFormat="1" applyFill="1" applyBorder="1"/>
    <xf numFmtId="3" fontId="9" fillId="11" borderId="26" xfId="0" applyNumberFormat="1" applyFont="1" applyFill="1" applyBorder="1" applyProtection="1">
      <protection locked="0"/>
    </xf>
    <xf numFmtId="3" fontId="0" fillId="11" borderId="26" xfId="0" applyNumberFormat="1" applyFill="1" applyBorder="1" applyProtection="1">
      <protection locked="0"/>
    </xf>
    <xf numFmtId="3" fontId="0" fillId="11" borderId="29" xfId="0" applyNumberFormat="1" applyFill="1" applyBorder="1"/>
    <xf numFmtId="3" fontId="0" fillId="11" borderId="30" xfId="0" applyNumberFormat="1" applyFill="1" applyBorder="1"/>
    <xf numFmtId="3" fontId="0" fillId="11" borderId="26" xfId="0" applyNumberFormat="1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3" fontId="0" fillId="11" borderId="26" xfId="0" applyNumberFormat="1" applyFill="1" applyBorder="1" applyAlignment="1" applyProtection="1">
      <alignment horizontal="center"/>
      <protection locked="0"/>
    </xf>
    <xf numFmtId="0" fontId="0" fillId="11" borderId="26" xfId="0" applyFill="1" applyBorder="1"/>
    <xf numFmtId="3" fontId="9" fillId="11" borderId="26" xfId="0" applyNumberFormat="1" applyFont="1" applyFill="1" applyBorder="1"/>
    <xf numFmtId="3" fontId="8" fillId="11" borderId="10" xfId="0" applyNumberFormat="1" applyFont="1" applyFill="1" applyBorder="1"/>
    <xf numFmtId="0" fontId="0" fillId="11" borderId="0" xfId="0" applyFill="1"/>
    <xf numFmtId="167" fontId="0" fillId="11" borderId="0" xfId="0" applyNumberFormat="1" applyFill="1"/>
    <xf numFmtId="164" fontId="19" fillId="3" borderId="2" xfId="2" applyNumberFormat="1" applyFont="1" applyFill="1" applyBorder="1"/>
    <xf numFmtId="0" fontId="6" fillId="4" borderId="15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2" xfId="0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9424-A073-4917-8482-310B7DD2423E}">
  <dimension ref="A1:BJ1801"/>
  <sheetViews>
    <sheetView showZeros="0" tabSelected="1" zoomScale="140" zoomScaleNormal="140" workbookViewId="0">
      <pane xSplit="4" ySplit="1" topLeftCell="E49" activePane="bottomRight" state="frozenSplit"/>
      <selection pane="topRight" activeCell="D1" sqref="D1"/>
      <selection pane="bottomLeft" activeCell="A2" sqref="A2"/>
      <selection pane="bottomRight" activeCell="G61" sqref="G61"/>
    </sheetView>
  </sheetViews>
  <sheetFormatPr defaultRowHeight="15.75" outlineLevelRow="1" x14ac:dyDescent="0.25"/>
  <cols>
    <col min="1" max="1" width="3.42578125" style="33" customWidth="1"/>
    <col min="2" max="2" width="2.42578125" style="1" customWidth="1"/>
    <col min="3" max="3" width="21.140625" style="4" bestFit="1" customWidth="1"/>
    <col min="4" max="4" width="16.7109375" style="1" bestFit="1" customWidth="1"/>
    <col min="5" max="5" width="19.5703125" style="32" customWidth="1"/>
    <col min="6" max="6" width="12.42578125" style="2" customWidth="1"/>
    <col min="7" max="7" width="10.5703125" style="2" customWidth="1"/>
    <col min="8" max="9" width="10.140625" style="2" customWidth="1"/>
    <col min="10" max="10" width="10.140625" style="131" customWidth="1"/>
    <col min="11" max="12" width="10.140625" style="2" customWidth="1"/>
    <col min="13" max="14" width="10.7109375" style="2" customWidth="1"/>
    <col min="15" max="15" width="11.140625" style="2" customWidth="1"/>
    <col min="16" max="16" width="9.28515625" style="2" bestFit="1" customWidth="1"/>
    <col min="17" max="18" width="9.5703125" style="2" customWidth="1"/>
    <col min="19" max="20" width="10.140625" style="2" customWidth="1"/>
    <col min="21" max="21" width="9.28515625" style="2" customWidth="1"/>
    <col min="22" max="22" width="10.140625" style="2" customWidth="1"/>
    <col min="23" max="23" width="9.28515625" style="2" customWidth="1"/>
    <col min="24" max="24" width="9.5703125" style="2" customWidth="1"/>
    <col min="25" max="25" width="10" style="2" customWidth="1"/>
    <col min="26" max="26" width="9.28515625" style="2" customWidth="1"/>
    <col min="27" max="27" width="10.140625" style="2" customWidth="1"/>
    <col min="28" max="16384" width="9.140625" style="1"/>
  </cols>
  <sheetData>
    <row r="1" spans="1:62" ht="32.25" customHeight="1" x14ac:dyDescent="0.25">
      <c r="A1" s="54"/>
      <c r="B1" s="6" t="s">
        <v>0</v>
      </c>
      <c r="C1" s="11"/>
      <c r="D1" s="5"/>
      <c r="E1" s="51" t="s">
        <v>6</v>
      </c>
      <c r="F1" s="7">
        <v>45926</v>
      </c>
      <c r="G1" s="7">
        <f>F1+7</f>
        <v>45933</v>
      </c>
      <c r="H1" s="7">
        <f t="shared" ref="H1:O1" si="0">G1+7</f>
        <v>45940</v>
      </c>
      <c r="I1" s="7">
        <f t="shared" si="0"/>
        <v>45947</v>
      </c>
      <c r="J1" s="122">
        <f t="shared" si="0"/>
        <v>45954</v>
      </c>
      <c r="K1" s="7">
        <f t="shared" si="0"/>
        <v>45961</v>
      </c>
      <c r="L1" s="7">
        <f t="shared" si="0"/>
        <v>45968</v>
      </c>
      <c r="M1" s="7">
        <f t="shared" si="0"/>
        <v>45975</v>
      </c>
      <c r="N1" s="7">
        <f t="shared" si="0"/>
        <v>45982</v>
      </c>
      <c r="O1" s="7">
        <f t="shared" si="0"/>
        <v>45989</v>
      </c>
      <c r="P1" s="7">
        <f>O1+7</f>
        <v>45996</v>
      </c>
      <c r="Q1" s="7">
        <f>P1+7</f>
        <v>46003</v>
      </c>
      <c r="R1" s="7">
        <f>Q1+7</f>
        <v>46010</v>
      </c>
      <c r="S1" s="7">
        <f>R1+7</f>
        <v>46017</v>
      </c>
      <c r="T1" s="7">
        <f t="shared" ref="T1:AA1" si="1">S1+7</f>
        <v>46024</v>
      </c>
      <c r="U1" s="7">
        <f t="shared" si="1"/>
        <v>46031</v>
      </c>
      <c r="V1" s="7">
        <f t="shared" si="1"/>
        <v>46038</v>
      </c>
      <c r="W1" s="7">
        <f t="shared" si="1"/>
        <v>46045</v>
      </c>
      <c r="X1" s="7">
        <f t="shared" si="1"/>
        <v>46052</v>
      </c>
      <c r="Y1" s="7">
        <f t="shared" si="1"/>
        <v>46059</v>
      </c>
      <c r="Z1" s="7">
        <f t="shared" si="1"/>
        <v>46066</v>
      </c>
      <c r="AA1" s="46">
        <f t="shared" si="1"/>
        <v>46073</v>
      </c>
      <c r="AB1" s="7">
        <f t="shared" ref="AB1:BJ1" si="2">AA1+7</f>
        <v>46080</v>
      </c>
      <c r="AC1" s="46">
        <f t="shared" si="2"/>
        <v>46087</v>
      </c>
      <c r="AD1" s="7">
        <f t="shared" si="2"/>
        <v>46094</v>
      </c>
      <c r="AE1" s="46">
        <f t="shared" si="2"/>
        <v>46101</v>
      </c>
      <c r="AF1" s="7">
        <f t="shared" si="2"/>
        <v>46108</v>
      </c>
      <c r="AG1" s="46">
        <f t="shared" si="2"/>
        <v>46115</v>
      </c>
      <c r="AH1" s="7">
        <f t="shared" si="2"/>
        <v>46122</v>
      </c>
      <c r="AI1" s="46">
        <f t="shared" si="2"/>
        <v>46129</v>
      </c>
      <c r="AJ1" s="7">
        <f t="shared" si="2"/>
        <v>46136</v>
      </c>
      <c r="AK1" s="46">
        <f t="shared" si="2"/>
        <v>46143</v>
      </c>
      <c r="AL1" s="7">
        <f t="shared" si="2"/>
        <v>46150</v>
      </c>
      <c r="AM1" s="46">
        <f t="shared" si="2"/>
        <v>46157</v>
      </c>
      <c r="AN1" s="7">
        <f t="shared" si="2"/>
        <v>46164</v>
      </c>
      <c r="AO1" s="46">
        <f t="shared" si="2"/>
        <v>46171</v>
      </c>
      <c r="AP1" s="7">
        <f t="shared" si="2"/>
        <v>46178</v>
      </c>
      <c r="AQ1" s="46">
        <f t="shared" si="2"/>
        <v>46185</v>
      </c>
      <c r="AR1" s="7">
        <f t="shared" si="2"/>
        <v>46192</v>
      </c>
      <c r="AS1" s="46">
        <f t="shared" si="2"/>
        <v>46199</v>
      </c>
      <c r="AT1" s="7">
        <f t="shared" si="2"/>
        <v>46206</v>
      </c>
      <c r="AU1" s="46">
        <f t="shared" si="2"/>
        <v>46213</v>
      </c>
      <c r="AV1" s="7">
        <f t="shared" si="2"/>
        <v>46220</v>
      </c>
      <c r="AW1" s="46">
        <f t="shared" si="2"/>
        <v>46227</v>
      </c>
      <c r="AX1" s="7">
        <f t="shared" si="2"/>
        <v>46234</v>
      </c>
      <c r="AY1" s="46">
        <f t="shared" si="2"/>
        <v>46241</v>
      </c>
      <c r="AZ1" s="7">
        <f t="shared" si="2"/>
        <v>46248</v>
      </c>
      <c r="BA1" s="46">
        <f t="shared" si="2"/>
        <v>46255</v>
      </c>
      <c r="BB1" s="7">
        <f t="shared" si="2"/>
        <v>46262</v>
      </c>
      <c r="BC1" s="46">
        <f t="shared" si="2"/>
        <v>46269</v>
      </c>
      <c r="BD1" s="7">
        <f t="shared" si="2"/>
        <v>46276</v>
      </c>
      <c r="BE1" s="46">
        <f t="shared" si="2"/>
        <v>46283</v>
      </c>
      <c r="BF1" s="7">
        <f t="shared" si="2"/>
        <v>46290</v>
      </c>
      <c r="BG1" s="46">
        <f t="shared" si="2"/>
        <v>46297</v>
      </c>
      <c r="BH1" s="7">
        <f t="shared" si="2"/>
        <v>46304</v>
      </c>
      <c r="BI1" s="46">
        <f t="shared" si="2"/>
        <v>46311</v>
      </c>
      <c r="BJ1" s="7">
        <f t="shared" si="2"/>
        <v>46318</v>
      </c>
    </row>
    <row r="2" spans="1:62" ht="29.25" customHeight="1" outlineLevel="1" x14ac:dyDescent="0.25">
      <c r="A2" s="54"/>
      <c r="B2" s="19"/>
      <c r="C2" s="4" t="s">
        <v>23</v>
      </c>
      <c r="E2" s="29"/>
      <c r="F2" s="3"/>
      <c r="G2" s="3">
        <v>5000</v>
      </c>
      <c r="H2" s="3">
        <v>5000</v>
      </c>
      <c r="I2" s="3">
        <v>5000</v>
      </c>
      <c r="J2" s="123">
        <v>7000</v>
      </c>
      <c r="K2" s="3">
        <v>7000</v>
      </c>
      <c r="L2" s="3">
        <v>7000</v>
      </c>
      <c r="M2" s="3">
        <v>7000</v>
      </c>
      <c r="N2" s="3">
        <v>7000</v>
      </c>
      <c r="O2" s="3">
        <v>7000</v>
      </c>
      <c r="P2" s="3">
        <v>7000</v>
      </c>
      <c r="Q2" s="3">
        <v>7000</v>
      </c>
      <c r="R2" s="3">
        <v>7000</v>
      </c>
      <c r="S2" s="3">
        <v>7000</v>
      </c>
      <c r="T2" s="3">
        <v>7000</v>
      </c>
      <c r="U2" s="3">
        <v>7000</v>
      </c>
      <c r="V2" s="3">
        <v>7000</v>
      </c>
      <c r="W2" s="3">
        <v>7000</v>
      </c>
      <c r="X2" s="3">
        <v>7000</v>
      </c>
      <c r="Y2" s="3">
        <v>7000</v>
      </c>
      <c r="Z2" s="3">
        <v>7000</v>
      </c>
      <c r="AA2" s="3">
        <v>7000</v>
      </c>
      <c r="AB2" s="3">
        <v>7000</v>
      </c>
      <c r="AC2" s="3">
        <v>7000</v>
      </c>
      <c r="AD2" s="3">
        <v>7000</v>
      </c>
      <c r="AE2" s="3">
        <v>7000</v>
      </c>
      <c r="AF2" s="3">
        <v>7000</v>
      </c>
      <c r="AG2" s="3">
        <v>7000</v>
      </c>
      <c r="AH2" s="3">
        <v>7000</v>
      </c>
      <c r="AI2" s="3">
        <v>7000</v>
      </c>
      <c r="AJ2" s="3">
        <v>7000</v>
      </c>
      <c r="AK2" s="3">
        <v>7000</v>
      </c>
      <c r="AL2" s="3">
        <v>7000</v>
      </c>
      <c r="AM2" s="3">
        <v>7000</v>
      </c>
      <c r="AN2" s="3">
        <v>7000</v>
      </c>
      <c r="AO2" s="3">
        <v>7000</v>
      </c>
      <c r="AP2" s="3">
        <v>7000</v>
      </c>
      <c r="AQ2" s="3">
        <v>7000</v>
      </c>
      <c r="AR2" s="3">
        <v>7000</v>
      </c>
      <c r="AS2" s="3">
        <v>7000</v>
      </c>
      <c r="AT2" s="3">
        <v>7000</v>
      </c>
      <c r="AU2" s="3">
        <v>7000</v>
      </c>
      <c r="AV2" s="3">
        <v>7000</v>
      </c>
      <c r="AW2" s="3">
        <v>7000</v>
      </c>
      <c r="AX2" s="3">
        <v>7000</v>
      </c>
      <c r="AY2" s="3">
        <v>7000</v>
      </c>
      <c r="AZ2" s="3">
        <v>7000</v>
      </c>
      <c r="BA2" s="3">
        <v>7000</v>
      </c>
      <c r="BB2" s="3">
        <v>7000</v>
      </c>
      <c r="BC2" s="3">
        <v>7000</v>
      </c>
      <c r="BD2" s="3">
        <v>7000</v>
      </c>
      <c r="BE2" s="3">
        <v>7000</v>
      </c>
      <c r="BF2" s="3">
        <v>7000</v>
      </c>
      <c r="BG2" s="3">
        <v>7000</v>
      </c>
      <c r="BH2" s="3">
        <v>7000</v>
      </c>
      <c r="BI2" s="3">
        <v>7000</v>
      </c>
      <c r="BJ2" s="3">
        <v>7000</v>
      </c>
    </row>
    <row r="3" spans="1:62" ht="39" customHeight="1" outlineLevel="1" x14ac:dyDescent="0.25">
      <c r="A3" s="54"/>
      <c r="B3" s="19"/>
      <c r="D3" s="1" t="s">
        <v>27</v>
      </c>
      <c r="E3" s="30"/>
      <c r="F3" s="3"/>
      <c r="G3" s="3">
        <v>3700</v>
      </c>
      <c r="H3" s="3"/>
      <c r="I3" s="3"/>
      <c r="J3" s="123"/>
      <c r="K3" s="3"/>
      <c r="L3" s="3"/>
      <c r="M3" s="3"/>
      <c r="N3" s="3"/>
      <c r="O3" s="3"/>
      <c r="P3" s="3"/>
      <c r="Q3" s="3"/>
      <c r="R3" s="3"/>
      <c r="S3" s="47">
        <f>(20000*3)*50%</f>
        <v>30000</v>
      </c>
      <c r="T3" s="3"/>
      <c r="U3" s="3"/>
      <c r="V3" s="3"/>
      <c r="W3" s="3"/>
      <c r="X3" s="3"/>
      <c r="Y3" s="3"/>
      <c r="Z3" s="3"/>
      <c r="AA3" s="47">
        <v>30000</v>
      </c>
      <c r="AB3" s="3"/>
      <c r="AC3" s="47">
        <v>30000</v>
      </c>
      <c r="AD3" s="3"/>
      <c r="AE3" s="47">
        <v>30000</v>
      </c>
      <c r="AF3" s="3"/>
      <c r="AG3" s="47">
        <v>30000</v>
      </c>
      <c r="AH3" s="3"/>
      <c r="AI3" s="47">
        <v>30000</v>
      </c>
      <c r="AJ3" s="3"/>
      <c r="AK3" s="47">
        <v>30000</v>
      </c>
      <c r="AL3" s="3"/>
      <c r="AM3" s="47">
        <v>30000</v>
      </c>
      <c r="AN3" s="3"/>
      <c r="AO3" s="47">
        <v>30000</v>
      </c>
      <c r="AP3" s="3"/>
      <c r="AQ3" s="47">
        <v>30000</v>
      </c>
      <c r="AR3" s="3"/>
      <c r="AS3" s="47">
        <v>30000</v>
      </c>
      <c r="AT3" s="3"/>
      <c r="AU3" s="47">
        <v>30000</v>
      </c>
      <c r="AV3" s="3"/>
      <c r="AW3" s="47">
        <v>30000</v>
      </c>
      <c r="AX3" s="3"/>
      <c r="AY3" s="47">
        <v>30000</v>
      </c>
      <c r="AZ3" s="3"/>
      <c r="BA3" s="47">
        <v>30000</v>
      </c>
      <c r="BB3" s="3"/>
      <c r="BC3" s="47">
        <v>30000</v>
      </c>
      <c r="BD3" s="3"/>
      <c r="BE3" s="47">
        <v>30000</v>
      </c>
      <c r="BF3" s="3"/>
      <c r="BG3" s="47">
        <v>30000</v>
      </c>
      <c r="BH3" s="3"/>
      <c r="BI3" s="47">
        <v>30000</v>
      </c>
      <c r="BJ3" s="3"/>
    </row>
    <row r="4" spans="1:62" ht="19.5" customHeight="1" outlineLevel="1" x14ac:dyDescent="0.25">
      <c r="A4" s="54"/>
      <c r="B4" s="19"/>
      <c r="D4" s="1" t="s">
        <v>6</v>
      </c>
      <c r="E4" s="31"/>
      <c r="F4" s="3">
        <v>375262.6</v>
      </c>
      <c r="G4" s="3">
        <f>F4+G2+G3</f>
        <v>383962.6</v>
      </c>
      <c r="H4" s="3">
        <f>G4+H2</f>
        <v>388962.6</v>
      </c>
      <c r="I4" s="3">
        <f>H4+I2-I13-H7+I3-H10</f>
        <v>4353.7599999999584</v>
      </c>
      <c r="J4" s="123">
        <f>I4+J2+J3</f>
        <v>11353.759999999958</v>
      </c>
      <c r="K4" s="3">
        <f>J4+K2+K3</f>
        <v>18353.759999999958</v>
      </c>
      <c r="L4" s="3">
        <f>K4+L2-K10+L3</f>
        <v>25353.759999999958</v>
      </c>
      <c r="M4" s="3">
        <f>L4+M2+M3</f>
        <v>32353.759999999958</v>
      </c>
      <c r="N4" s="3">
        <f t="shared" ref="N4:Z4" si="3">M4+N2+N3</f>
        <v>39353.759999999958</v>
      </c>
      <c r="O4" s="3">
        <f t="shared" si="3"/>
        <v>46353.759999999958</v>
      </c>
      <c r="P4" s="3">
        <f t="shared" si="3"/>
        <v>53353.759999999958</v>
      </c>
      <c r="Q4" s="3">
        <f t="shared" si="3"/>
        <v>60353.759999999958</v>
      </c>
      <c r="R4" s="3">
        <f t="shared" si="3"/>
        <v>67353.759999999951</v>
      </c>
      <c r="S4" s="3">
        <f t="shared" si="3"/>
        <v>104353.75999999995</v>
      </c>
      <c r="T4" s="3">
        <f t="shared" si="3"/>
        <v>111353.75999999995</v>
      </c>
      <c r="U4" s="3">
        <f t="shared" si="3"/>
        <v>118353.75999999995</v>
      </c>
      <c r="V4" s="3">
        <f t="shared" si="3"/>
        <v>125353.75999999995</v>
      </c>
      <c r="W4" s="3">
        <f t="shared" si="3"/>
        <v>132353.75999999995</v>
      </c>
      <c r="X4" s="3">
        <f t="shared" si="3"/>
        <v>139353.75999999995</v>
      </c>
      <c r="Y4" s="3">
        <f t="shared" si="3"/>
        <v>146353.75999999995</v>
      </c>
      <c r="Z4" s="3">
        <f t="shared" si="3"/>
        <v>153353.75999999995</v>
      </c>
      <c r="AA4" s="3">
        <f>Z4+AA2+AA3-AA12</f>
        <v>40353.759999999951</v>
      </c>
      <c r="AB4" s="3">
        <f>AA4+AB2+AB3</f>
        <v>47353.759999999951</v>
      </c>
      <c r="AC4" s="3">
        <f>AB4+AC2+AC3-AC12</f>
        <v>-65647.240000000049</v>
      </c>
      <c r="AD4" s="3">
        <f>AC4+AD2+AD3</f>
        <v>-58647.240000000049</v>
      </c>
      <c r="AE4" s="3">
        <f>AD4+AE2+AE3-AE12</f>
        <v>-171649.24000000005</v>
      </c>
      <c r="AF4" s="3">
        <f>AE4+AF2+AF3</f>
        <v>-164649.24000000005</v>
      </c>
      <c r="AG4" s="3">
        <f>AF4+AG2+AG3-AG12</f>
        <v>-277652.24000000005</v>
      </c>
      <c r="AH4" s="3">
        <f>AG4+AH2+AH3</f>
        <v>-270652.24000000005</v>
      </c>
      <c r="AI4" s="3">
        <f>AH4+AI2+AI3-AI12</f>
        <v>-383656.24000000005</v>
      </c>
      <c r="AJ4" s="3">
        <f>AI4+AJ2+AJ3</f>
        <v>-376656.24000000005</v>
      </c>
      <c r="AK4" s="3">
        <f>AJ4+AK2+AK3-AK12</f>
        <v>-489661.24000000005</v>
      </c>
      <c r="AL4" s="3">
        <f>AK4+AL2+AL3</f>
        <v>-482661.24000000005</v>
      </c>
      <c r="AM4" s="3">
        <f>AL4+AM2+AM3-AM12</f>
        <v>-595667.24</v>
      </c>
      <c r="AN4" s="3">
        <f>AM4+AN2+AN3</f>
        <v>-588667.24</v>
      </c>
      <c r="AO4" s="3">
        <f>AN4+AO2+AO3-AO12</f>
        <v>-701674.24</v>
      </c>
      <c r="AP4" s="3">
        <f>AO4+AP2+AP3</f>
        <v>-694674.24</v>
      </c>
      <c r="AQ4" s="3">
        <f>AP4+AQ2+AQ3-AQ12</f>
        <v>-807682.24</v>
      </c>
      <c r="AR4" s="3">
        <f>AQ4+AR2+AR3</f>
        <v>-800682.24</v>
      </c>
      <c r="AS4" s="3">
        <f>AR4+AS2+AS3-AS12</f>
        <v>-913691.24</v>
      </c>
      <c r="AT4" s="3">
        <f>AS4+AT2+AT3</f>
        <v>-906691.24</v>
      </c>
      <c r="AU4" s="3">
        <f>AT4+AU2+AU3-AU12</f>
        <v>-1019701.24</v>
      </c>
      <c r="AV4" s="3">
        <f>AU4+AV2+AV3</f>
        <v>-1012701.24</v>
      </c>
      <c r="AW4" s="3">
        <f>AV4+AW2+AW3-AW12</f>
        <v>-1125712.24</v>
      </c>
      <c r="AX4" s="3">
        <f>AW4+AX2+AX3</f>
        <v>-1118712.24</v>
      </c>
      <c r="AY4" s="3">
        <f>AX4+AY2+AY3-AY12</f>
        <v>-1231724.24</v>
      </c>
      <c r="AZ4" s="3">
        <f>AY4+AZ2+AZ3</f>
        <v>-1224724.24</v>
      </c>
      <c r="BA4" s="3">
        <f>AZ4+BA2+BA3-BA12</f>
        <v>-1337737.24</v>
      </c>
      <c r="BB4" s="3">
        <f>BA4+BB2+BB3</f>
        <v>-1330737.24</v>
      </c>
      <c r="BC4" s="3">
        <f>BB4+BC2+BC3-BC12</f>
        <v>-1443751.24</v>
      </c>
      <c r="BD4" s="3">
        <f>BC4+BD2+BD3</f>
        <v>-1436751.24</v>
      </c>
      <c r="BE4" s="3">
        <f>BD4+BE2+BE3-BE12</f>
        <v>-1549766.24</v>
      </c>
      <c r="BF4" s="3">
        <f>BE4+BF2+BF3</f>
        <v>-1542766.24</v>
      </c>
      <c r="BG4" s="3">
        <f>BF4+BG2+BG3-BG12</f>
        <v>-1655782.24</v>
      </c>
      <c r="BH4" s="3">
        <f>BG4+BH2+BH3</f>
        <v>-1648782.24</v>
      </c>
      <c r="BI4" s="3">
        <f>BH4+BI2+BI3-BI12</f>
        <v>-1761799.24</v>
      </c>
      <c r="BJ4" s="3">
        <f>BI4+BJ2+BJ3</f>
        <v>-1754799.24</v>
      </c>
    </row>
    <row r="5" spans="1:62" ht="33.75" customHeight="1" outlineLevel="1" x14ac:dyDescent="0.25">
      <c r="A5" s="54"/>
      <c r="B5" s="19"/>
      <c r="E5" s="31"/>
      <c r="F5" s="3"/>
      <c r="G5" s="3"/>
      <c r="H5" s="3"/>
      <c r="I5" s="3"/>
      <c r="J5" s="12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ht="16.5" customHeight="1" outlineLevel="1" x14ac:dyDescent="0.25">
      <c r="A6" s="54"/>
      <c r="B6" s="19"/>
      <c r="C6" s="4" t="s">
        <v>24</v>
      </c>
      <c r="E6" s="31"/>
      <c r="F6" s="3"/>
      <c r="G6" s="3">
        <v>1647.34</v>
      </c>
      <c r="H6" s="3">
        <v>1647.34</v>
      </c>
      <c r="I6" s="3"/>
      <c r="J6" s="12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ht="32.25" customHeight="1" outlineLevel="1" x14ac:dyDescent="0.25">
      <c r="A7" s="54"/>
      <c r="B7" s="19"/>
      <c r="D7" s="1" t="s">
        <v>6</v>
      </c>
      <c r="E7" s="31"/>
      <c r="F7" s="3">
        <v>233361.67</v>
      </c>
      <c r="G7" s="3">
        <f>F7-G6</f>
        <v>231714.33000000002</v>
      </c>
      <c r="H7" s="3">
        <f>G7-H6</f>
        <v>230066.99000000002</v>
      </c>
      <c r="I7" s="3"/>
      <c r="J7" s="12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28.5" customHeight="1" outlineLevel="1" x14ac:dyDescent="0.25">
      <c r="A8" s="54"/>
      <c r="B8" s="19"/>
      <c r="E8" s="31"/>
      <c r="F8" s="3"/>
      <c r="G8" s="3"/>
      <c r="H8" s="3"/>
      <c r="I8" s="3"/>
      <c r="J8" s="12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outlineLevel="1" x14ac:dyDescent="0.25">
      <c r="A9" s="54"/>
      <c r="B9" s="19"/>
      <c r="C9" s="4" t="s">
        <v>25</v>
      </c>
      <c r="E9" s="31"/>
      <c r="F9" s="3"/>
      <c r="G9" s="3">
        <v>144.27000000000001</v>
      </c>
      <c r="H9" s="3">
        <v>144.27000000000001</v>
      </c>
      <c r="I9" s="3"/>
      <c r="J9" s="12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outlineLevel="1" x14ac:dyDescent="0.25">
      <c r="A10" s="54"/>
      <c r="B10" s="19"/>
      <c r="D10" s="1" t="s">
        <v>6</v>
      </c>
      <c r="E10" s="31"/>
      <c r="F10" s="3">
        <v>9830.39</v>
      </c>
      <c r="G10" s="3">
        <f>F10-G9</f>
        <v>9686.119999999999</v>
      </c>
      <c r="H10" s="3">
        <f>G10-H9</f>
        <v>9541.8499999999985</v>
      </c>
      <c r="I10" s="3"/>
      <c r="J10" s="12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ht="14.25" customHeight="1" outlineLevel="1" x14ac:dyDescent="0.25">
      <c r="A11" s="54"/>
      <c r="B11" s="19"/>
      <c r="E11" s="31"/>
      <c r="F11" s="3"/>
      <c r="G11" s="3"/>
      <c r="H11" s="3"/>
      <c r="I11" s="3"/>
      <c r="J11" s="12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2" outlineLevel="1" x14ac:dyDescent="0.25">
      <c r="A12" s="54"/>
      <c r="C12" s="4" t="s">
        <v>26</v>
      </c>
      <c r="F12" s="3"/>
      <c r="G12" s="3"/>
      <c r="H12" s="3"/>
      <c r="I12" s="47">
        <v>150000</v>
      </c>
      <c r="J12" s="12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7">
        <v>150000</v>
      </c>
      <c r="AB12" s="3"/>
      <c r="AC12" s="47">
        <v>150001</v>
      </c>
      <c r="AD12" s="3"/>
      <c r="AE12" s="47">
        <v>150002</v>
      </c>
      <c r="AF12" s="3"/>
      <c r="AG12" s="47">
        <v>150003</v>
      </c>
      <c r="AH12" s="3"/>
      <c r="AI12" s="47">
        <v>150004</v>
      </c>
      <c r="AJ12" s="3"/>
      <c r="AK12" s="47">
        <v>150005</v>
      </c>
      <c r="AL12" s="3"/>
      <c r="AM12" s="47">
        <v>150006</v>
      </c>
      <c r="AN12" s="3"/>
      <c r="AO12" s="47">
        <v>150007</v>
      </c>
      <c r="AP12" s="3"/>
      <c r="AQ12" s="47">
        <v>150008</v>
      </c>
      <c r="AR12" s="3"/>
      <c r="AS12" s="47">
        <v>150009</v>
      </c>
      <c r="AT12" s="3"/>
      <c r="AU12" s="47">
        <v>150010</v>
      </c>
      <c r="AV12" s="3"/>
      <c r="AW12" s="47">
        <v>150011</v>
      </c>
      <c r="AX12" s="3"/>
      <c r="AY12" s="47">
        <v>150012</v>
      </c>
      <c r="AZ12" s="3"/>
      <c r="BA12" s="47">
        <v>150013</v>
      </c>
      <c r="BB12" s="3"/>
      <c r="BC12" s="47">
        <v>150014</v>
      </c>
      <c r="BD12" s="3"/>
      <c r="BE12" s="47">
        <v>150015</v>
      </c>
      <c r="BF12" s="3"/>
      <c r="BG12" s="47">
        <v>150016</v>
      </c>
      <c r="BH12" s="3"/>
      <c r="BI12" s="47">
        <v>150017</v>
      </c>
      <c r="BJ12" s="3"/>
    </row>
    <row r="13" spans="1:62" outlineLevel="1" x14ac:dyDescent="0.25">
      <c r="A13" s="54"/>
      <c r="D13" s="20">
        <f>0.06/52</f>
        <v>1.1538461538461537E-3</v>
      </c>
      <c r="F13" s="3"/>
      <c r="G13" s="3"/>
      <c r="H13" s="3"/>
      <c r="I13" s="3">
        <f>I12</f>
        <v>150000</v>
      </c>
      <c r="J13" s="123">
        <f t="shared" ref="J13:Q13" si="4">(I13*$D$13)+I13+J12</f>
        <v>150173.07692307694</v>
      </c>
      <c r="K13" s="3">
        <f t="shared" si="4"/>
        <v>150346.35355029587</v>
      </c>
      <c r="L13" s="3">
        <f t="shared" si="4"/>
        <v>150519.83011208466</v>
      </c>
      <c r="M13" s="3">
        <f t="shared" si="4"/>
        <v>150693.50683913706</v>
      </c>
      <c r="N13" s="3">
        <f t="shared" si="4"/>
        <v>150867.38396241298</v>
      </c>
      <c r="O13" s="3">
        <f t="shared" si="4"/>
        <v>151041.46171313885</v>
      </c>
      <c r="P13" s="3">
        <f t="shared" si="4"/>
        <v>151215.74032280786</v>
      </c>
      <c r="Q13" s="3">
        <f t="shared" si="4"/>
        <v>151390.22002318033</v>
      </c>
      <c r="R13" s="3">
        <f t="shared" ref="R13:AA13" si="5">(Q13*$D$13)+Q13+R12</f>
        <v>151564.90104628401</v>
      </c>
      <c r="S13" s="3">
        <f t="shared" si="5"/>
        <v>151739.78362441433</v>
      </c>
      <c r="T13" s="3">
        <f t="shared" si="5"/>
        <v>151914.86799013481</v>
      </c>
      <c r="U13" s="3">
        <f t="shared" si="5"/>
        <v>152090.15437627726</v>
      </c>
      <c r="V13" s="3">
        <f t="shared" si="5"/>
        <v>152265.64301594219</v>
      </c>
      <c r="W13" s="3">
        <f t="shared" si="5"/>
        <v>152441.33414249905</v>
      </c>
      <c r="X13" s="3">
        <f t="shared" si="5"/>
        <v>152617.22798958654</v>
      </c>
      <c r="Y13" s="3">
        <f t="shared" si="5"/>
        <v>152793.32479111297</v>
      </c>
      <c r="Z13" s="3">
        <f t="shared" si="5"/>
        <v>152969.62478125657</v>
      </c>
      <c r="AA13" s="3">
        <f t="shared" si="5"/>
        <v>303146.12819446571</v>
      </c>
      <c r="AB13" s="3">
        <f t="shared" ref="AB13:BJ13" si="6">(AA13*$D$13)+AA13+AB12</f>
        <v>303495.91218853625</v>
      </c>
      <c r="AC13" s="3">
        <f t="shared" si="6"/>
        <v>453847.09977952304</v>
      </c>
      <c r="AD13" s="3">
        <f t="shared" si="6"/>
        <v>454370.76951003785</v>
      </c>
      <c r="AE13" s="3">
        <f t="shared" si="6"/>
        <v>604897.04347485711</v>
      </c>
      <c r="AF13" s="3">
        <f t="shared" si="6"/>
        <v>605595.00160194351</v>
      </c>
      <c r="AG13" s="3">
        <f t="shared" si="6"/>
        <v>756296.76506533031</v>
      </c>
      <c r="AH13" s="3">
        <f t="shared" si="6"/>
        <v>757169.41517886729</v>
      </c>
      <c r="AI13" s="3">
        <f t="shared" si="6"/>
        <v>908047.0721963814</v>
      </c>
      <c r="AJ13" s="3">
        <f t="shared" si="6"/>
        <v>909094.81881814648</v>
      </c>
      <c r="AK13" s="3">
        <f t="shared" si="6"/>
        <v>1060148.7743783211</v>
      </c>
      <c r="AL13" s="3">
        <f t="shared" si="6"/>
        <v>1061372.0229641423</v>
      </c>
      <c r="AM13" s="3">
        <f t="shared" si="6"/>
        <v>1212602.6829906392</v>
      </c>
      <c r="AN13" s="3">
        <f t="shared" si="6"/>
        <v>1214001.8399325516</v>
      </c>
      <c r="AO13" s="3">
        <f t="shared" si="6"/>
        <v>1365409.61128632</v>
      </c>
      <c r="AP13" s="3">
        <f t="shared" si="6"/>
        <v>1366985.0839147272</v>
      </c>
      <c r="AQ13" s="3">
        <f t="shared" si="6"/>
        <v>1518570.3743961672</v>
      </c>
      <c r="AR13" s="3">
        <f t="shared" si="6"/>
        <v>1520322.5709820089</v>
      </c>
      <c r="AS13" s="3">
        <f t="shared" si="6"/>
        <v>1672085.7893331421</v>
      </c>
      <c r="AT13" s="3">
        <f t="shared" si="6"/>
        <v>1674015.1190900649</v>
      </c>
      <c r="AU13" s="3">
        <f t="shared" si="6"/>
        <v>1825956.6749967074</v>
      </c>
      <c r="AV13" s="3">
        <f t="shared" si="6"/>
        <v>1828063.548083242</v>
      </c>
      <c r="AW13" s="3">
        <f t="shared" si="6"/>
        <v>1980183.8521771843</v>
      </c>
      <c r="AX13" s="3">
        <f t="shared" si="6"/>
        <v>1982468.6796989273</v>
      </c>
      <c r="AY13" s="3">
        <f t="shared" si="6"/>
        <v>2134768.1435601185</v>
      </c>
      <c r="AZ13" s="3">
        <f t="shared" si="6"/>
        <v>2137231.3375719185</v>
      </c>
      <c r="BA13" s="3">
        <f t="shared" si="6"/>
        <v>2289710.3737306553</v>
      </c>
      <c r="BB13" s="3">
        <f t="shared" si="6"/>
        <v>2292352.3472388061</v>
      </c>
      <c r="BC13" s="3">
        <f t="shared" si="6"/>
        <v>2445011.3691779277</v>
      </c>
      <c r="BD13" s="3">
        <f t="shared" si="6"/>
        <v>2447832.5361423637</v>
      </c>
      <c r="BE13" s="3">
        <f t="shared" si="6"/>
        <v>2600671.958299451</v>
      </c>
      <c r="BF13" s="3">
        <f t="shared" si="6"/>
        <v>2603672.7336359504</v>
      </c>
      <c r="BG13" s="3">
        <f t="shared" si="6"/>
        <v>2756692.9714055303</v>
      </c>
      <c r="BH13" s="3">
        <f t="shared" si="6"/>
        <v>2759873.7709879214</v>
      </c>
      <c r="BI13" s="3">
        <f t="shared" si="6"/>
        <v>2913075.2407236765</v>
      </c>
      <c r="BJ13" s="3">
        <f t="shared" si="6"/>
        <v>2916436.4813860501</v>
      </c>
    </row>
    <row r="14" spans="1:62" ht="14.25" customHeight="1" outlineLevel="1" x14ac:dyDescent="0.25">
      <c r="A14" s="54"/>
      <c r="B14" s="19"/>
      <c r="D14" s="20">
        <f>0.08/52</f>
        <v>1.5384615384615385E-3</v>
      </c>
      <c r="E14" s="31"/>
      <c r="F14" s="3"/>
      <c r="G14" s="3"/>
      <c r="H14" s="3"/>
      <c r="I14" s="3"/>
      <c r="J14" s="12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2" ht="3" customHeight="1" x14ac:dyDescent="0.25">
      <c r="A15" s="54"/>
      <c r="B15" s="19"/>
      <c r="E15" s="31"/>
      <c r="F15" s="3"/>
      <c r="G15" s="3"/>
      <c r="H15" s="3"/>
      <c r="I15" s="3"/>
      <c r="J15" s="12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x14ac:dyDescent="0.25">
      <c r="A16" s="54">
        <v>1</v>
      </c>
      <c r="C16" s="4" t="s">
        <v>1</v>
      </c>
      <c r="E16" s="91"/>
      <c r="F16" s="3"/>
      <c r="G16" s="3"/>
      <c r="H16" s="3"/>
      <c r="I16" s="3"/>
      <c r="J16" s="12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62" x14ac:dyDescent="0.25">
      <c r="A17" s="54"/>
      <c r="D17" s="59" t="s">
        <v>2</v>
      </c>
      <c r="E17" s="91"/>
      <c r="F17" s="114">
        <v>7000</v>
      </c>
      <c r="G17" s="114">
        <v>7000</v>
      </c>
      <c r="H17" s="114">
        <v>7000</v>
      </c>
      <c r="I17" s="114">
        <v>7000</v>
      </c>
      <c r="J17" s="124">
        <v>7000</v>
      </c>
      <c r="K17" s="114">
        <v>7000</v>
      </c>
      <c r="L17" s="114">
        <v>7000</v>
      </c>
      <c r="M17" s="114">
        <v>7000</v>
      </c>
      <c r="N17" s="114">
        <v>7000</v>
      </c>
      <c r="O17" s="114">
        <v>7000</v>
      </c>
      <c r="P17" s="114">
        <v>7000</v>
      </c>
      <c r="Q17" s="114">
        <v>7000</v>
      </c>
      <c r="R17" s="114">
        <v>7000</v>
      </c>
      <c r="S17" s="114">
        <v>7000</v>
      </c>
      <c r="T17" s="114">
        <v>7000</v>
      </c>
      <c r="U17" s="114">
        <v>7000</v>
      </c>
      <c r="V17" s="121"/>
      <c r="W17" s="121"/>
      <c r="X17" s="114">
        <v>7000</v>
      </c>
      <c r="Y17" s="114">
        <v>7000</v>
      </c>
      <c r="Z17" s="114">
        <v>7000</v>
      </c>
      <c r="AA17" s="114">
        <v>7000</v>
      </c>
      <c r="AB17" s="114">
        <v>7000</v>
      </c>
      <c r="AC17" s="114">
        <v>7000</v>
      </c>
      <c r="AD17" s="114">
        <v>7000</v>
      </c>
      <c r="AE17" s="114">
        <v>7000</v>
      </c>
      <c r="AF17" s="114">
        <v>7000</v>
      </c>
      <c r="AG17" s="114">
        <v>7000</v>
      </c>
      <c r="AH17" s="114">
        <v>7000</v>
      </c>
      <c r="AI17" s="114">
        <v>7000</v>
      </c>
      <c r="AJ17" s="114">
        <v>7000</v>
      </c>
      <c r="AK17" s="114">
        <v>7000</v>
      </c>
      <c r="AL17" s="114">
        <v>7000</v>
      </c>
      <c r="AM17" s="114">
        <v>7000</v>
      </c>
      <c r="AN17" s="114">
        <v>7000</v>
      </c>
      <c r="AO17" s="114">
        <v>7000</v>
      </c>
      <c r="AP17" s="114">
        <v>7000</v>
      </c>
      <c r="AQ17" s="114">
        <v>7000</v>
      </c>
      <c r="AR17" s="114">
        <v>7000</v>
      </c>
      <c r="AS17" s="114">
        <v>7000</v>
      </c>
      <c r="AT17" s="114">
        <v>7000</v>
      </c>
      <c r="AU17" s="114">
        <v>7000</v>
      </c>
      <c r="AV17" s="114">
        <v>7000</v>
      </c>
      <c r="AW17" s="114">
        <v>7000</v>
      </c>
      <c r="AX17" s="114">
        <v>7000</v>
      </c>
      <c r="AY17" s="114">
        <v>7000</v>
      </c>
      <c r="AZ17" s="114">
        <v>7000</v>
      </c>
      <c r="BA17" s="114">
        <v>7000</v>
      </c>
      <c r="BB17" s="114">
        <v>7000</v>
      </c>
      <c r="BC17" s="121"/>
      <c r="BD17" s="114">
        <v>7000</v>
      </c>
      <c r="BE17" s="114">
        <v>7000</v>
      </c>
      <c r="BF17" s="114">
        <v>7000</v>
      </c>
      <c r="BG17" s="114">
        <v>7000</v>
      </c>
      <c r="BH17" s="114">
        <v>7000</v>
      </c>
      <c r="BI17" s="114">
        <v>7000</v>
      </c>
      <c r="BJ17" s="114">
        <v>7000</v>
      </c>
    </row>
    <row r="18" spans="1:62" x14ac:dyDescent="0.25">
      <c r="A18" s="54"/>
      <c r="D18" s="1" t="s">
        <v>22</v>
      </c>
      <c r="E18" s="91"/>
      <c r="F18" s="3"/>
      <c r="G18" s="3"/>
      <c r="H18" s="3"/>
      <c r="I18" s="3"/>
      <c r="J18" s="12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62" x14ac:dyDescent="0.25">
      <c r="A19" s="54"/>
      <c r="D19" s="1" t="s">
        <v>48</v>
      </c>
      <c r="E19" s="91"/>
      <c r="F19" s="3"/>
      <c r="G19" s="3"/>
      <c r="H19" s="3"/>
      <c r="I19" s="3"/>
      <c r="J19" s="12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62" x14ac:dyDescent="0.25">
      <c r="A20" s="54"/>
      <c r="D20" s="1" t="s">
        <v>21</v>
      </c>
      <c r="E20" s="91"/>
      <c r="F20" s="39"/>
      <c r="G20" s="39"/>
      <c r="H20" s="39"/>
      <c r="I20" s="39"/>
      <c r="J20" s="125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</row>
    <row r="21" spans="1:62" ht="16.5" thickBot="1" x14ac:dyDescent="0.3">
      <c r="A21" s="54"/>
      <c r="B21" s="42"/>
      <c r="C21" s="43"/>
      <c r="D21" s="42"/>
      <c r="E21" s="93"/>
      <c r="F21" s="44"/>
      <c r="G21" s="44"/>
      <c r="H21" s="44"/>
      <c r="I21" s="44"/>
      <c r="J21" s="126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</row>
    <row r="22" spans="1:62" ht="17.25" thickTop="1" thickBot="1" x14ac:dyDescent="0.3">
      <c r="A22" s="54"/>
      <c r="B22" s="43" t="s">
        <v>3</v>
      </c>
      <c r="C22" s="43"/>
      <c r="D22" s="42"/>
      <c r="E22" s="93"/>
      <c r="F22" s="44"/>
      <c r="G22" s="44"/>
      <c r="H22" s="44"/>
      <c r="I22" s="44"/>
      <c r="J22" s="126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</row>
    <row r="23" spans="1:62" thickTop="1" x14ac:dyDescent="0.25">
      <c r="A23" s="54" t="str">
        <f>IF(D23&gt;0,MAX($A$16:A22)+1,"")</f>
        <v/>
      </c>
      <c r="C23" s="53" t="s">
        <v>55</v>
      </c>
      <c r="E23" s="111">
        <f ca="1">_TAR1</f>
        <v>-1000</v>
      </c>
      <c r="F23" s="3"/>
      <c r="G23" s="3">
        <v>2400</v>
      </c>
      <c r="H23" s="3"/>
      <c r="I23" s="3"/>
      <c r="J23" s="123">
        <v>2400</v>
      </c>
      <c r="K23" s="3"/>
      <c r="L23" s="3"/>
      <c r="M23" s="3"/>
      <c r="N23" s="3">
        <v>2415</v>
      </c>
      <c r="O23" s="3"/>
      <c r="P23" s="3"/>
      <c r="Q23" s="3"/>
      <c r="R23" s="3"/>
      <c r="S23" s="3">
        <v>2415</v>
      </c>
      <c r="T23" s="3"/>
      <c r="U23" s="3"/>
      <c r="V23" s="3"/>
      <c r="W23" s="3">
        <v>2415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62" ht="15" hidden="1" x14ac:dyDescent="0.25">
      <c r="A24" s="54"/>
      <c r="C24" s="53" t="s">
        <v>45</v>
      </c>
      <c r="E24" s="48"/>
      <c r="F24" s="39">
        <f>IF(F23&gt;0,SUM($F$23:F23)-SUM($F$25:F25),0)</f>
        <v>0</v>
      </c>
      <c r="G24" s="39">
        <f>IF(G23&gt;0,SUM($F$23:G23)-SUM($F$25:G25),0)</f>
        <v>2400</v>
      </c>
      <c r="H24" s="39">
        <f>IF(H23&gt;0,SUM($F$23:H23)-SUM($F$25:H25),0)</f>
        <v>0</v>
      </c>
      <c r="I24" s="39">
        <f>IF(I23&gt;0,SUM($F$23:I23)-SUM($F$25:I25),0)</f>
        <v>0</v>
      </c>
      <c r="J24" s="125">
        <f>IF(J23&gt;0,SUM($F$23:J23)-SUM($F$25:J25),0)</f>
        <v>4800</v>
      </c>
      <c r="K24" s="39">
        <f>IF(K23&gt;0,SUM($F$23:K23)-SUM($F$25:K25),0)</f>
        <v>0</v>
      </c>
      <c r="L24" s="39">
        <f>IF(L23&gt;0,SUM($F$23:L23)-SUM($F$25:L25),0)</f>
        <v>0</v>
      </c>
      <c r="M24" s="39">
        <f>IF(M23&gt;0,SUM($F$23:M23)-SUM($F$25:M25),0)</f>
        <v>0</v>
      </c>
      <c r="N24" s="39">
        <f>IF(N23&gt;0,SUM($F$23:N23)-SUM($F$25:N25),0)</f>
        <v>7215</v>
      </c>
      <c r="O24" s="39">
        <f>IF(O23&gt;0,SUM($F$23:O23)-SUM($F$25:O25),0)</f>
        <v>0</v>
      </c>
      <c r="P24" s="39">
        <f>IF(P23&gt;0,SUM($F$23:P23)-SUM($F$25:P25),0)</f>
        <v>0</v>
      </c>
      <c r="Q24" s="39">
        <f>IF(Q23&gt;0,SUM($F$23:Q23)-SUM($F$25:Q25),0)</f>
        <v>0</v>
      </c>
      <c r="R24" s="39">
        <f>IF(R23&gt;0,SUM($F$23:R23)-SUM($F$25:R25),0)</f>
        <v>0</v>
      </c>
      <c r="S24" s="39">
        <f>IF(S23&gt;0,SUM($F$23:S23)-SUM($F$25:S25),0)</f>
        <v>9630</v>
      </c>
      <c r="T24" s="39">
        <f>IF(T23&gt;0,SUM($F$23:T23)-SUM($F$25:T25),0)</f>
        <v>0</v>
      </c>
      <c r="U24" s="39">
        <f>IF(U23&gt;0,SUM($F$23:U23)-SUM($F$25:U25),0)</f>
        <v>0</v>
      </c>
      <c r="V24" s="39">
        <f>IF(V23&gt;0,SUM($F$23:V23)-SUM($F$25:V25),0)</f>
        <v>0</v>
      </c>
      <c r="W24" s="39">
        <f>IF(W23&gt;0,SUM($F$23:W23)-SUM($F$25:W25),0)</f>
        <v>12045</v>
      </c>
      <c r="X24" s="39">
        <f>IF(X23&gt;0,SUM($F$23:X23)-SUM($F$25:X25),0)</f>
        <v>0</v>
      </c>
      <c r="Y24" s="39">
        <f>IF(Y23&gt;0,SUM($F$23:Y23)-SUM($F$25:Y25),0)</f>
        <v>0</v>
      </c>
      <c r="Z24" s="39">
        <f>IF(Z23&gt;0,SUM($F$23:Z23)-SUM($F$25:Z25),0)</f>
        <v>0</v>
      </c>
      <c r="AA24" s="39">
        <f>IF(AA23&gt;0,SUM($F$23:AA23)-SUM($F$25:AA25),0)</f>
        <v>0</v>
      </c>
      <c r="AB24" s="39">
        <f>IF(AB23&gt;0,SUM($F$23:AB23)-SUM($F$25:AB25),0)</f>
        <v>0</v>
      </c>
      <c r="AC24" s="39">
        <f>IF(AC23&gt;0,SUM($F$23:AC23)-SUM($F$25:AC25),0)</f>
        <v>0</v>
      </c>
      <c r="AD24" s="39">
        <f>IF(AD23&gt;0,SUM($F$23:AD23)-SUM($F$25:AD25),0)</f>
        <v>0</v>
      </c>
      <c r="AE24" s="39">
        <f>IF(AE23&gt;0,SUM($F$23:AE23)-SUM($F$25:AE25),0)</f>
        <v>0</v>
      </c>
      <c r="AF24" s="39">
        <f>IF(AF23&gt;0,SUM($F$23:AF23)-SUM($F$25:AF25),0)</f>
        <v>0</v>
      </c>
      <c r="AG24" s="39">
        <f>IF(AG23&gt;0,SUM($F$23:AG23)-SUM($F$25:AG25),0)</f>
        <v>0</v>
      </c>
      <c r="AH24" s="39">
        <f>IF(AH23&gt;0,SUM($F$23:AH23)-SUM($F$25:AH25),0)</f>
        <v>0</v>
      </c>
      <c r="AI24" s="39">
        <f>IF(AI23&gt;0,SUM($F$23:AI23)-SUM($F$25:AI25),0)</f>
        <v>0</v>
      </c>
      <c r="AJ24" s="39">
        <f>IF(AJ23&gt;0,SUM($F$23:AJ23)-SUM($F$25:AJ25),0)</f>
        <v>0</v>
      </c>
      <c r="AK24" s="39">
        <f>IF(AK23&gt;0,SUM($F$23:AK23)-SUM($F$25:AK25),0)</f>
        <v>0</v>
      </c>
      <c r="AL24" s="39">
        <f>IF(AL23&gt;0,SUM($F$23:AL23)-SUM($F$25:AL25),0)</f>
        <v>0</v>
      </c>
      <c r="AM24" s="39">
        <f>IF(AM23&gt;0,SUM($F$23:AM23)-SUM($F$25:AM25),0)</f>
        <v>0</v>
      </c>
      <c r="AN24" s="39">
        <f>IF(AN23&gt;0,SUM($F$23:AN23)-SUM($F$25:AN25),0)</f>
        <v>0</v>
      </c>
      <c r="AO24" s="39">
        <f>IF(AO23&gt;0,SUM($F$23:AO23)-SUM($F$25:AO25),0)</f>
        <v>0</v>
      </c>
      <c r="AP24" s="39">
        <f>IF(AP23&gt;0,SUM($F$23:AP23)-SUM($F$25:AP25),0)</f>
        <v>0</v>
      </c>
      <c r="AQ24" s="39">
        <f>IF(AQ23&gt;0,SUM($F$23:AQ23)-SUM($F$25:AQ25),0)</f>
        <v>0</v>
      </c>
      <c r="AR24" s="39">
        <f>IF(AR23&gt;0,SUM($F$23:AR23)-SUM($F$25:AR25),0)</f>
        <v>0</v>
      </c>
      <c r="AS24" s="39">
        <f>IF(AS23&gt;0,SUM($F$23:AS23)-SUM($F$25:AS25),0)</f>
        <v>0</v>
      </c>
      <c r="AT24" s="39">
        <f>IF(AT23&gt;0,SUM($F$23:AT23)-SUM($F$25:AT25),0)</f>
        <v>0</v>
      </c>
      <c r="AU24" s="39">
        <f>IF(AU23&gt;0,SUM($F$23:AU23)-SUM($F$25:AU25),0)</f>
        <v>0</v>
      </c>
      <c r="AV24" s="39">
        <f>IF(AV23&gt;0,SUM($F$23:AV23)-SUM($F$25:AV25),0)</f>
        <v>0</v>
      </c>
      <c r="AW24" s="39">
        <f>IF(AW23&gt;0,SUM($F$23:AW23)-SUM($F$25:AW25),0)</f>
        <v>0</v>
      </c>
      <c r="AX24" s="39">
        <f>IF(AX23&gt;0,SUM($F$23:AX23)-SUM($F$25:AX25),0)</f>
        <v>0</v>
      </c>
      <c r="AY24" s="39">
        <f>IF(AY23&gt;0,SUM($F$23:AY23)-SUM($F$25:AY25),0)</f>
        <v>0</v>
      </c>
      <c r="AZ24" s="39">
        <f>IF(AZ23&gt;0,SUM($F$23:AZ23)-SUM($F$25:AZ25),0)</f>
        <v>0</v>
      </c>
      <c r="BA24" s="39">
        <f>IF(BA23&gt;0,SUM($F$23:BA23)-SUM($F$25:BA25),0)</f>
        <v>0</v>
      </c>
      <c r="BB24" s="39">
        <f>IF(BB23&gt;0,SUM($F$23:BB23)-SUM($F$25:BB25),0)</f>
        <v>0</v>
      </c>
      <c r="BC24" s="39">
        <f>IF(BC23&gt;0,SUM($F$23:BC23)-SUM($F$25:BC25),0)</f>
        <v>0</v>
      </c>
      <c r="BD24" s="39">
        <f>IF(BD23&gt;0,SUM($F$23:BD23)-SUM($F$25:BD25),0)</f>
        <v>0</v>
      </c>
      <c r="BE24" s="39">
        <f>IF(BE23&gt;0,SUM($F$23:BE23)-SUM($F$25:BE25),0)</f>
        <v>0</v>
      </c>
      <c r="BF24" s="39">
        <f>IF(BF23&gt;0,SUM($F$23:BF23)-SUM($F$25:BF25),0)</f>
        <v>0</v>
      </c>
      <c r="BG24" s="39">
        <f>IF(BG23&gt;0,SUM($F$23:BG23)-SUM($F$25:BG25),0)</f>
        <v>0</v>
      </c>
      <c r="BH24" s="39">
        <f>IF(BH23&gt;0,SUM($F$23:BH23)-SUM($F$25:BH25),0)</f>
        <v>0</v>
      </c>
      <c r="BI24" s="39">
        <f>IF(BI23&gt;0,SUM($F$23:BI23)-SUM($F$25:BI25),0)</f>
        <v>0</v>
      </c>
      <c r="BJ24" s="39">
        <f>IF(BJ23&gt;0,SUM($F$23:BJ23)-SUM($F$25:BJ25),0)</f>
        <v>0</v>
      </c>
    </row>
    <row r="25" spans="1:62" ht="15" x14ac:dyDescent="0.25">
      <c r="A25" s="54" t="str">
        <f>IF(D25&gt;0,MAX($A$16:A23)+1,"")</f>
        <v/>
      </c>
      <c r="C25" s="55" t="s">
        <v>12</v>
      </c>
      <c r="D25" s="56"/>
      <c r="E25" s="49"/>
      <c r="F25" s="115">
        <f>SUMIFS('Misselaneos '!$D:$D,'Misselaneos '!$B:$B,Balance!F1,'Misselaneos '!$E:$E,$C$23)</f>
        <v>0</v>
      </c>
      <c r="G25" s="115">
        <f>SUMIFS('Misselaneos '!$D:$D,'Misselaneos '!$B:$B,Balance!G1,'Misselaneos '!$E:$E,$C$23)</f>
        <v>0</v>
      </c>
      <c r="H25" s="115">
        <f>SUMIFS('Misselaneos '!$D:$D,'Misselaneos '!$B:$B,Balance!H1,'Misselaneos '!$E:$E,$C$23)</f>
        <v>0</v>
      </c>
      <c r="I25" s="115">
        <f>SUMIFS('Misselaneos '!$D:$D,'Misselaneos '!$B:$B,Balance!I1,'Misselaneos '!$E:$E,$C$23)</f>
        <v>0</v>
      </c>
      <c r="J25" s="127">
        <f>SUMIFS('Misselaneos '!$D:$D,'Misselaneos '!$B:$B,Balance!J1,'Misselaneos '!$E:$E,$C$23)</f>
        <v>0</v>
      </c>
      <c r="K25" s="115">
        <f>SUMIFS('Misselaneos '!$D:$D,'Misselaneos '!$B:$B,Balance!K1,'Misselaneos '!$E:$E,$C$23)</f>
        <v>0</v>
      </c>
      <c r="L25" s="115">
        <f>SUMIFS('Misselaneos '!$D:$D,'Misselaneos '!$B:$B,Balance!L1,'Misselaneos '!$E:$E,$C$23)</f>
        <v>0</v>
      </c>
      <c r="M25" s="115" t="s">
        <v>46</v>
      </c>
      <c r="N25" s="115">
        <f>SUMIFS('Misselaneos '!$D:$D,'Misselaneos '!$B:$B,Balance!N1,'Misselaneos '!$E:$E,$C$23)</f>
        <v>0</v>
      </c>
      <c r="O25" s="115">
        <f>SUMIFS('Misselaneos '!$D:$D,'Misselaneos '!$B:$B,Balance!O1,'Misselaneos '!$E:$E,$C$23)</f>
        <v>0</v>
      </c>
      <c r="P25" s="115">
        <f>SUMIFS('Misselaneos '!$D:$D,'Misselaneos '!$B:$B,Balance!P1,'Misselaneos '!$E:$E,$C$23)</f>
        <v>0</v>
      </c>
      <c r="Q25" s="115">
        <f>SUMIFS('Misselaneos '!$D:$D,'Misselaneos '!$B:$B,Balance!Q1,'Misselaneos '!$E:$E,$C$23)</f>
        <v>0</v>
      </c>
      <c r="R25" s="115">
        <f>SUMIFS('Misselaneos '!$D:$D,'Misselaneos '!$B:$B,Balance!R1,'Misselaneos '!$E:$E,$C$23)</f>
        <v>0</v>
      </c>
      <c r="S25" s="115">
        <f>SUMIFS('Misselaneos '!$D:$D,'Misselaneos '!$B:$B,Balance!S1,'Misselaneos '!$E:$E,$C$23)</f>
        <v>0</v>
      </c>
      <c r="T25" s="115">
        <f>SUMIFS('Misselaneos '!$D:$D,'Misselaneos '!$B:$B,Balance!T1,'Misselaneos '!$E:$E,$C$23)</f>
        <v>0</v>
      </c>
      <c r="U25" s="115">
        <f>SUMIFS('Misselaneos '!$D:$D,'Misselaneos '!$B:$B,Balance!U1,'Misselaneos '!$E:$E,$C$23)</f>
        <v>0</v>
      </c>
      <c r="V25" s="115">
        <f>SUMIFS('Misselaneos '!$D:$D,'Misselaneos '!$B:$B,Balance!V1,'Misselaneos '!$E:$E,$C$23)</f>
        <v>0</v>
      </c>
      <c r="W25" s="115">
        <f>SUMIFS('Misselaneos '!$D:$D,'Misselaneos '!$B:$B,Balance!W1,'Misselaneos '!$E:$E,$C$23)</f>
        <v>0</v>
      </c>
      <c r="X25" s="115">
        <f>SUMIFS('Misselaneos '!$D:$D,'Misselaneos '!$B:$B,Balance!X1,'Misselaneos '!$E:$E,$C$23)</f>
        <v>0</v>
      </c>
      <c r="Y25" s="115">
        <f>SUMIFS('Misselaneos '!$D:$D,'Misselaneos '!$B:$B,Balance!Y1,'Misselaneos '!$E:$E,$C$23)</f>
        <v>0</v>
      </c>
      <c r="Z25" s="115">
        <f>SUMIFS('Misselaneos '!$D:$D,'Misselaneos '!$B:$B,Balance!Z1,'Misselaneos '!$E:$E,$C$23)</f>
        <v>0</v>
      </c>
      <c r="AA25" s="115">
        <f>SUMIFS('Misselaneos '!$D:$D,'Misselaneos '!$B:$B,Balance!AA1,'Misselaneos '!$E:$E,$C$23)</f>
        <v>0</v>
      </c>
      <c r="AB25" s="115">
        <f>SUMIFS('Misselaneos '!$D:$D,'Misselaneos '!$B:$B,Balance!AB1,'Misselaneos '!$E:$E,$C$23)</f>
        <v>0</v>
      </c>
      <c r="AC25" s="115">
        <f>SUMIFS('Misselaneos '!$D:$D,'Misselaneos '!$B:$B,Balance!AC1,'Misselaneos '!$E:$E,$C$23)</f>
        <v>0</v>
      </c>
      <c r="AD25" s="115">
        <f>SUMIFS('Misselaneos '!$D:$D,'Misselaneos '!$B:$B,Balance!AD1,'Misselaneos '!$E:$E,$C$23)</f>
        <v>0</v>
      </c>
      <c r="AE25" s="115">
        <f>SUMIFS('Misselaneos '!$D:$D,'Misselaneos '!$B:$B,Balance!AE1,'Misselaneos '!$E:$E,$C$23)</f>
        <v>0</v>
      </c>
      <c r="AF25" s="115">
        <f>SUMIFS('Misselaneos '!$D:$D,'Misselaneos '!$B:$B,Balance!AF1,'Misselaneos '!$E:$E,$C$23)</f>
        <v>0</v>
      </c>
      <c r="AG25" s="115">
        <f>SUMIFS('Misselaneos '!$D:$D,'Misselaneos '!$B:$B,Balance!AG1,'Misselaneos '!$E:$E,$C$23)</f>
        <v>0</v>
      </c>
      <c r="AH25" s="115">
        <f>SUMIFS('Misselaneos '!$D:$D,'Misselaneos '!$B:$B,Balance!AH1,'Misselaneos '!$E:$E,$C$23)</f>
        <v>0</v>
      </c>
      <c r="AI25" s="115">
        <f>SUMIFS('Misselaneos '!$D:$D,'Misselaneos '!$B:$B,Balance!AI1,'Misselaneos '!$E:$E,$C$23)</f>
        <v>0</v>
      </c>
      <c r="AJ25" s="115">
        <f>SUMIFS('Misselaneos '!$D:$D,'Misselaneos '!$B:$B,Balance!AJ1,'Misselaneos '!$E:$E,$C$23)</f>
        <v>0</v>
      </c>
      <c r="AK25" s="115">
        <f>SUMIFS('Misselaneos '!$D:$D,'Misselaneos '!$B:$B,Balance!AK1,'Misselaneos '!$E:$E,$C$23)</f>
        <v>0</v>
      </c>
      <c r="AL25" s="115">
        <f>SUMIFS('Misselaneos '!$D:$D,'Misselaneos '!$B:$B,Balance!AL1,'Misselaneos '!$E:$E,$C$23)</f>
        <v>0</v>
      </c>
      <c r="AM25" s="115">
        <f>SUMIFS('Misselaneos '!$D:$D,'Misselaneos '!$B:$B,Balance!AM1,'Misselaneos '!$E:$E,$C$23)</f>
        <v>0</v>
      </c>
      <c r="AN25" s="115">
        <f>SUMIFS('Misselaneos '!$D:$D,'Misselaneos '!$B:$B,Balance!AN1,'Misselaneos '!$E:$E,$C$23)</f>
        <v>0</v>
      </c>
      <c r="AO25" s="115">
        <f>SUMIFS('Misselaneos '!$D:$D,'Misselaneos '!$B:$B,Balance!AO1,'Misselaneos '!$E:$E,$C$23)</f>
        <v>0</v>
      </c>
      <c r="AP25" s="115">
        <f>SUMIFS('Misselaneos '!$D:$D,'Misselaneos '!$B:$B,Balance!AP1,'Misselaneos '!$E:$E,$C$23)</f>
        <v>0</v>
      </c>
      <c r="AQ25" s="115">
        <f>SUMIFS('Misselaneos '!$D:$D,'Misselaneos '!$B:$B,Balance!AQ1,'Misselaneos '!$E:$E,$C$23)</f>
        <v>0</v>
      </c>
      <c r="AR25" s="115">
        <f>SUMIFS('Misselaneos '!$D:$D,'Misselaneos '!$B:$B,Balance!AR1,'Misselaneos '!$E:$E,$C$23)</f>
        <v>0</v>
      </c>
      <c r="AS25" s="115">
        <f>SUMIFS('Misselaneos '!$D:$D,'Misselaneos '!$B:$B,Balance!AS1,'Misselaneos '!$E:$E,$C$23)</f>
        <v>0</v>
      </c>
      <c r="AT25" s="115">
        <f>SUMIFS('Misselaneos '!$D:$D,'Misselaneos '!$B:$B,Balance!AT1,'Misselaneos '!$E:$E,$C$23)</f>
        <v>0</v>
      </c>
      <c r="AU25" s="115">
        <f>SUMIFS('Misselaneos '!$D:$D,'Misselaneos '!$B:$B,Balance!AU1,'Misselaneos '!$E:$E,$C$23)</f>
        <v>0</v>
      </c>
      <c r="AV25" s="115">
        <f>SUMIFS('Misselaneos '!$D:$D,'Misselaneos '!$B:$B,Balance!AV1,'Misselaneos '!$E:$E,$C$23)</f>
        <v>0</v>
      </c>
      <c r="AW25" s="115">
        <f>SUMIFS('Misselaneos '!$D:$D,'Misselaneos '!$B:$B,Balance!AW1,'Misselaneos '!$E:$E,$C$23)</f>
        <v>0</v>
      </c>
      <c r="AX25" s="115">
        <f>SUMIFS('Misselaneos '!$D:$D,'Misselaneos '!$B:$B,Balance!AX1,'Misselaneos '!$E:$E,$C$23)</f>
        <v>0</v>
      </c>
      <c r="AY25" s="115">
        <f>SUMIFS('Misselaneos '!$D:$D,'Misselaneos '!$B:$B,Balance!AY1,'Misselaneos '!$E:$E,$C$23)</f>
        <v>0</v>
      </c>
      <c r="AZ25" s="115">
        <f>SUMIFS('Misselaneos '!$D:$D,'Misselaneos '!$B:$B,Balance!AZ1,'Misselaneos '!$E:$E,$C$23)</f>
        <v>0</v>
      </c>
      <c r="BA25" s="115">
        <f>SUMIFS('Misselaneos '!$D:$D,'Misselaneos '!$B:$B,Balance!BA1,'Misselaneos '!$E:$E,$C$23)</f>
        <v>0</v>
      </c>
      <c r="BB25" s="115">
        <f>SUMIFS('Misselaneos '!$D:$D,'Misselaneos '!$B:$B,Balance!BB1,'Misselaneos '!$E:$E,$C$23)</f>
        <v>0</v>
      </c>
      <c r="BC25" s="115">
        <f>SUMIFS('Misselaneos '!$D:$D,'Misselaneos '!$B:$B,Balance!BC1,'Misselaneos '!$E:$E,$C$23)</f>
        <v>0</v>
      </c>
      <c r="BD25" s="115">
        <f>SUMIFS('Misselaneos '!$D:$D,'Misselaneos '!$B:$B,Balance!BD1,'Misselaneos '!$E:$E,$C$23)</f>
        <v>0</v>
      </c>
      <c r="BE25" s="115">
        <f>SUMIFS('Misselaneos '!$D:$D,'Misselaneos '!$B:$B,Balance!BE1,'Misselaneos '!$E:$E,$C$23)</f>
        <v>0</v>
      </c>
      <c r="BF25" s="115">
        <f>SUMIFS('Misselaneos '!$D:$D,'Misselaneos '!$B:$B,Balance!BF1,'Misselaneos '!$E:$E,$C$23)</f>
        <v>0</v>
      </c>
      <c r="BG25" s="115">
        <f>SUMIFS('Misselaneos '!$D:$D,'Misselaneos '!$B:$B,Balance!BG1,'Misselaneos '!$E:$E,$C$23)</f>
        <v>0</v>
      </c>
      <c r="BH25" s="115">
        <f>SUMIFS('Misselaneos '!$D:$D,'Misselaneos '!$B:$B,Balance!BH1,'Misselaneos '!$E:$E,$C$23)</f>
        <v>0</v>
      </c>
      <c r="BI25" s="115">
        <f>SUMIFS('Misselaneos '!$D:$D,'Misselaneos '!$B:$B,Balance!BI1,'Misselaneos '!$E:$E,$C$23)</f>
        <v>0</v>
      </c>
      <c r="BJ25" s="115">
        <f>SUMIFS('Misselaneos '!$D:$D,'Misselaneos '!$B:$B,Balance!BJ1,'Misselaneos '!$E:$E,$C$23)</f>
        <v>0</v>
      </c>
    </row>
    <row r="26" spans="1:62" x14ac:dyDescent="0.25">
      <c r="A26" s="54">
        <f>IF(D26&gt;0,MAX($A$16:A25)+1,"")</f>
        <v>2</v>
      </c>
      <c r="D26" t="s">
        <v>47</v>
      </c>
      <c r="E26" s="91"/>
      <c r="F26" s="3">
        <v>1500</v>
      </c>
      <c r="G26" s="3"/>
      <c r="H26" s="3"/>
      <c r="I26" s="102"/>
      <c r="J26" s="128"/>
      <c r="K26" s="3">
        <v>1500</v>
      </c>
      <c r="L26" s="3"/>
      <c r="M26" s="3"/>
      <c r="N26" s="102"/>
      <c r="O26" s="3">
        <v>1500</v>
      </c>
      <c r="P26" s="3"/>
      <c r="Q26" s="3"/>
      <c r="R26" s="102"/>
      <c r="S26" s="3">
        <v>1500</v>
      </c>
      <c r="T26" s="3"/>
      <c r="U26" s="3"/>
      <c r="V26" s="3"/>
      <c r="W26" s="102"/>
      <c r="X26" s="3"/>
      <c r="Y26" s="3"/>
      <c r="Z26" s="3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</row>
    <row r="27" spans="1:62" x14ac:dyDescent="0.25">
      <c r="A27" s="54">
        <f>IF(D27&gt;0,MAX($A$16:A26)+1,"")</f>
        <v>3</v>
      </c>
      <c r="D27" t="s">
        <v>58</v>
      </c>
      <c r="E27" s="91"/>
      <c r="F27" s="3"/>
      <c r="G27" s="39">
        <v>600</v>
      </c>
      <c r="H27" s="102"/>
      <c r="I27" s="90"/>
      <c r="J27" s="128"/>
      <c r="K27" s="3"/>
      <c r="L27" s="39">
        <v>600</v>
      </c>
      <c r="M27" s="102"/>
      <c r="N27" s="102"/>
      <c r="O27" s="3"/>
      <c r="P27" s="39">
        <v>600</v>
      </c>
      <c r="Q27" s="102"/>
      <c r="R27" s="102"/>
      <c r="S27" s="90"/>
      <c r="T27" s="3">
        <v>600</v>
      </c>
      <c r="U27" s="39"/>
      <c r="V27" s="102"/>
      <c r="W27" s="102"/>
      <c r="X27" s="3"/>
      <c r="Y27" s="39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</row>
    <row r="28" spans="1:62" x14ac:dyDescent="0.25">
      <c r="A28" s="54" t="str">
        <f>IF(D28&gt;0,MAX($A$16:A27)+1,"")</f>
        <v/>
      </c>
      <c r="D28" s="40"/>
      <c r="E28" s="91"/>
      <c r="F28" s="3"/>
      <c r="G28" s="3"/>
      <c r="H28" s="102"/>
      <c r="I28" s="102"/>
      <c r="J28" s="128"/>
      <c r="K28" s="3"/>
      <c r="L28" s="3"/>
      <c r="M28" s="102"/>
      <c r="N28" s="102"/>
      <c r="O28" s="3"/>
      <c r="P28" s="3"/>
      <c r="Q28" s="102"/>
      <c r="R28" s="102"/>
      <c r="S28" s="102"/>
      <c r="T28" s="3"/>
      <c r="U28" s="3"/>
      <c r="V28" s="102"/>
      <c r="W28" s="102"/>
      <c r="X28" s="3"/>
      <c r="Y28" s="3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</row>
    <row r="29" spans="1:62" x14ac:dyDescent="0.25">
      <c r="A29" s="54" t="str">
        <f>IF(D29&gt;0,MAX($A$16:A28)+1,"")</f>
        <v/>
      </c>
      <c r="D29" s="40"/>
      <c r="E29" s="91"/>
      <c r="H29" s="103"/>
      <c r="I29" s="103"/>
      <c r="J29" s="129"/>
      <c r="M29" s="103"/>
      <c r="N29" s="103"/>
      <c r="Q29" s="103"/>
      <c r="R29" s="103"/>
      <c r="S29" s="103"/>
      <c r="V29" s="103"/>
      <c r="W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</row>
    <row r="30" spans="1:62" x14ac:dyDescent="0.25">
      <c r="A30" s="54" t="str">
        <f>IF(D30&gt;0,MAX($A$16:A29)+1,"")</f>
        <v/>
      </c>
      <c r="D30" s="40"/>
      <c r="E30" s="91"/>
      <c r="G30" s="1"/>
      <c r="H30" s="90"/>
      <c r="I30" s="90"/>
      <c r="J30" s="129"/>
      <c r="L30" s="1"/>
      <c r="M30" s="90"/>
      <c r="N30" s="103"/>
      <c r="P30" s="1"/>
      <c r="Q30" s="90"/>
      <c r="R30" s="103"/>
      <c r="S30" s="90"/>
      <c r="U30" s="1"/>
      <c r="V30" s="90"/>
      <c r="W30" s="103"/>
      <c r="Y30" s="1"/>
      <c r="Z30" s="90"/>
      <c r="AA30" s="103"/>
      <c r="AB30" s="90"/>
      <c r="AC30" s="103"/>
      <c r="AD30" s="90"/>
      <c r="AE30" s="103"/>
      <c r="AF30" s="90"/>
      <c r="AG30" s="103"/>
      <c r="AH30" s="90"/>
      <c r="AI30" s="103"/>
      <c r="AJ30" s="90"/>
      <c r="AK30" s="103"/>
      <c r="AL30" s="90"/>
      <c r="AM30" s="103"/>
      <c r="AN30" s="90"/>
      <c r="AO30" s="103"/>
      <c r="AP30" s="90"/>
      <c r="AQ30" s="103"/>
      <c r="AR30" s="90"/>
      <c r="AS30" s="103"/>
      <c r="AT30" s="90"/>
      <c r="AU30" s="103"/>
      <c r="AV30" s="90"/>
      <c r="AW30" s="103"/>
      <c r="AX30" s="90"/>
      <c r="AY30" s="103"/>
      <c r="AZ30" s="90"/>
      <c r="BA30" s="103"/>
      <c r="BB30" s="90"/>
      <c r="BC30" s="103"/>
      <c r="BD30" s="90"/>
      <c r="BE30" s="103"/>
      <c r="BF30" s="90"/>
      <c r="BG30" s="103"/>
      <c r="BH30" s="90"/>
      <c r="BI30" s="103"/>
      <c r="BJ30" s="90"/>
    </row>
    <row r="31" spans="1:62" x14ac:dyDescent="0.25">
      <c r="A31" s="54" t="str">
        <f>IF(D31&gt;0,MAX($A$16:A30)+1,"")</f>
        <v/>
      </c>
      <c r="D31" s="40"/>
      <c r="E31" s="91"/>
      <c r="G31" s="1"/>
      <c r="H31" s="90"/>
      <c r="I31" s="90"/>
      <c r="J31" s="129"/>
      <c r="K31" s="90"/>
      <c r="L31" s="103"/>
      <c r="M31" s="99"/>
      <c r="N31" s="103"/>
      <c r="O31" s="99"/>
      <c r="P31" s="90"/>
      <c r="Q31" s="90"/>
      <c r="R31" s="103"/>
      <c r="S31" s="90"/>
      <c r="T31" s="103"/>
      <c r="U31" s="99"/>
      <c r="V31" s="99"/>
      <c r="W31" s="103"/>
      <c r="X31" s="99"/>
      <c r="Y31" s="90"/>
      <c r="Z31" s="90"/>
      <c r="AA31" s="103"/>
      <c r="AB31" s="90"/>
      <c r="AC31" s="103"/>
      <c r="AD31" s="90"/>
      <c r="AE31" s="103"/>
      <c r="AF31" s="90"/>
      <c r="AG31" s="103"/>
      <c r="AH31" s="90"/>
      <c r="AI31" s="103"/>
      <c r="AJ31" s="90"/>
      <c r="AK31" s="103"/>
      <c r="AL31" s="90"/>
      <c r="AM31" s="103"/>
      <c r="AN31" s="90"/>
      <c r="AO31" s="103"/>
      <c r="AP31" s="90"/>
      <c r="AQ31" s="103"/>
      <c r="AR31" s="90"/>
      <c r="AS31" s="103"/>
      <c r="AT31" s="90"/>
      <c r="AU31" s="103"/>
      <c r="AV31" s="90"/>
      <c r="AW31" s="103"/>
      <c r="AX31" s="90"/>
      <c r="AY31" s="103"/>
      <c r="AZ31" s="90"/>
      <c r="BA31" s="103"/>
      <c r="BB31" s="90"/>
      <c r="BC31" s="103"/>
      <c r="BD31" s="90"/>
      <c r="BE31" s="103"/>
      <c r="BF31" s="90"/>
      <c r="BG31" s="103"/>
      <c r="BH31" s="90"/>
      <c r="BI31" s="103"/>
      <c r="BJ31" s="90"/>
    </row>
    <row r="32" spans="1:62" x14ac:dyDescent="0.25">
      <c r="A32" s="54"/>
      <c r="D32" s="40"/>
      <c r="E32" s="91"/>
      <c r="H32" s="90"/>
      <c r="I32" s="90"/>
      <c r="J32" s="13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</row>
    <row r="33" spans="1:62" x14ac:dyDescent="0.25">
      <c r="A33" s="54" t="str">
        <f>IF(D33&gt;0,MAX($A$16:A32)+1,"")</f>
        <v/>
      </c>
      <c r="D33" s="40"/>
      <c r="E33" s="91"/>
      <c r="H33" s="90"/>
      <c r="I33" s="90"/>
      <c r="J33" s="13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</row>
    <row r="34" spans="1:62" ht="16.5" thickBot="1" x14ac:dyDescent="0.3">
      <c r="A34" s="54" t="str">
        <f>IF(D34&gt;0,MAX($A$16:A31)+1,"")</f>
        <v/>
      </c>
      <c r="B34" s="42"/>
      <c r="C34" s="43"/>
      <c r="D34" s="42"/>
      <c r="E34" s="93"/>
      <c r="F34" s="44"/>
      <c r="G34" s="44"/>
      <c r="H34" s="118"/>
      <c r="I34" s="44"/>
      <c r="J34" s="126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</row>
    <row r="35" spans="1:62" thickTop="1" x14ac:dyDescent="0.25">
      <c r="A35" s="54" t="str">
        <f>IF(D35&gt;0,MAX($A$16:A32)+1,"")</f>
        <v/>
      </c>
      <c r="C35" s="52" t="s">
        <v>44</v>
      </c>
      <c r="E35" s="50">
        <f ca="1">_TAR2</f>
        <v>0</v>
      </c>
      <c r="F35" s="3"/>
      <c r="G35" s="3"/>
      <c r="H35" s="3"/>
      <c r="I35" s="3"/>
      <c r="J35" s="12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 ht="15" x14ac:dyDescent="0.25">
      <c r="A36" s="54" t="str">
        <f>IF(D36&gt;0,MAX($A$16:A34)+1,"")</f>
        <v/>
      </c>
      <c r="C36" s="55" t="s">
        <v>12</v>
      </c>
      <c r="D36" s="56"/>
      <c r="E36" s="49"/>
      <c r="F36" s="119">
        <f>SUMIFS('Misselaneos '!$D:$D,'Misselaneos '!$B:$B,Balance!F1,'Misselaneos '!$E:$E,$C$35)</f>
        <v>0</v>
      </c>
      <c r="G36" s="115">
        <f>SUMIFS('Misselaneos '!$D:$D,'Misselaneos '!$B:$B,Balance!G1,'Misselaneos '!$E:$E,$C$35)</f>
        <v>0</v>
      </c>
      <c r="H36" s="115">
        <f>SUMIFS('Misselaneos '!$D:$D,'Misselaneos '!$B:$B,Balance!H1,'Misselaneos '!$E:$E,$C$35)</f>
        <v>0</v>
      </c>
      <c r="I36" s="115">
        <f>SUMIFS('Misselaneos '!$D:$D,'Misselaneos '!$B:$B,Balance!I1,'Misselaneos '!$E:$E,$C$35)</f>
        <v>0</v>
      </c>
      <c r="J36" s="127">
        <f>SUMIFS('Misselaneos '!$D:$D,'Misselaneos '!$B:$B,Balance!J1,'Misselaneos '!$E:$E,$C$35)</f>
        <v>0</v>
      </c>
      <c r="K36" s="115">
        <f>SUMIFS('Misselaneos '!$D:$D,'Misselaneos '!$B:$B,Balance!K1,'Misselaneos '!$E:$E,$C$35)</f>
        <v>0</v>
      </c>
      <c r="L36" s="115">
        <f>SUMIFS('Misselaneos '!$D:$D,'Misselaneos '!$B:$B,Balance!L1,'Misselaneos '!$E:$E,$C$35)</f>
        <v>0</v>
      </c>
      <c r="M36" s="115">
        <f>SUMIFS('Misselaneos '!$D:$D,'Misselaneos '!$B:$B,Balance!M1,'Misselaneos '!$E:$E,$C$35)</f>
        <v>0</v>
      </c>
      <c r="N36" s="115">
        <f>SUMIFS('Misselaneos '!$D:$D,'Misselaneos '!$B:$B,Balance!N1,'Misselaneos '!$E:$E,$C$35)</f>
        <v>0</v>
      </c>
      <c r="O36" s="115">
        <f>SUMIFS('Misselaneos '!$D:$D,'Misselaneos '!$B:$B,Balance!O1,'Misselaneos '!$E:$E,$C$35)</f>
        <v>0</v>
      </c>
      <c r="P36" s="115">
        <f>SUMIFS('Misselaneos '!$D:$D,'Misselaneos '!$B:$B,Balance!P1,'Misselaneos '!$E:$E,$C$35)</f>
        <v>0</v>
      </c>
      <c r="Q36" s="115">
        <f>SUMIFS('Misselaneos '!$D:$D,'Misselaneos '!$B:$B,Balance!Q1,'Misselaneos '!$E:$E,$C$35)</f>
        <v>0</v>
      </c>
      <c r="R36" s="115">
        <f>SUMIFS('Misselaneos '!$D:$D,'Misselaneos '!$B:$B,Balance!R1,'Misselaneos '!$E:$E,$C$35)</f>
        <v>0</v>
      </c>
      <c r="S36" s="115">
        <f>SUMIFS('Misselaneos '!$D:$D,'Misselaneos '!$B:$B,Balance!S1,'Misselaneos '!$E:$E,$C$35)</f>
        <v>0</v>
      </c>
      <c r="T36" s="115">
        <f>SUMIFS('Misselaneos '!$D:$D,'Misselaneos '!$B:$B,Balance!T1,'Misselaneos '!$E:$E,$C$35)</f>
        <v>0</v>
      </c>
      <c r="U36" s="115">
        <f>SUMIFS('Misselaneos '!$D:$D,'Misselaneos '!$B:$B,Balance!U1,'Misselaneos '!$E:$E,$C$35)</f>
        <v>0</v>
      </c>
      <c r="V36" s="115">
        <f>SUMIFS('Misselaneos '!$D:$D,'Misselaneos '!$B:$B,Balance!V1,'Misselaneos '!$E:$E,$C$35)</f>
        <v>0</v>
      </c>
      <c r="W36" s="115">
        <f>SUMIFS('Misselaneos '!$D:$D,'Misselaneos '!$B:$B,Balance!W1,'Misselaneos '!$E:$E,$C$35)</f>
        <v>0</v>
      </c>
      <c r="X36" s="115">
        <f>SUMIFS('Misselaneos '!$D:$D,'Misselaneos '!$B:$B,Balance!X1,'Misselaneos '!$E:$E,$C$35)</f>
        <v>0</v>
      </c>
      <c r="Y36" s="115">
        <f>SUMIFS('Misselaneos '!$D:$D,'Misselaneos '!$B:$B,Balance!Y1,'Misselaneos '!$E:$E,$C$35)</f>
        <v>0</v>
      </c>
      <c r="Z36" s="115">
        <f>SUMIFS('Misselaneos '!$D:$D,'Misselaneos '!$B:$B,Balance!Z1,'Misselaneos '!$E:$E,$C$35)</f>
        <v>0</v>
      </c>
      <c r="AA36" s="115">
        <f>SUMIFS('Misselaneos '!$D:$D,'Misselaneos '!$B:$B,Balance!AA1,'Misselaneos '!$E:$E,$C$35)</f>
        <v>0</v>
      </c>
      <c r="AB36" s="115">
        <f>SUMIFS('Misselaneos '!$D:$D,'Misselaneos '!$B:$B,Balance!AB1,'Misselaneos '!$E:$E,$C$35)</f>
        <v>0</v>
      </c>
      <c r="AC36" s="115">
        <f>SUMIFS('Misselaneos '!$D:$D,'Misselaneos '!$B:$B,Balance!AC1,'Misselaneos '!$E:$E,$C$35)</f>
        <v>0</v>
      </c>
      <c r="AD36" s="115">
        <f>SUMIFS('Misselaneos '!$D:$D,'Misselaneos '!$B:$B,Balance!AD1,'Misselaneos '!$E:$E,$C$35)</f>
        <v>0</v>
      </c>
      <c r="AE36" s="115">
        <f>SUMIFS('Misselaneos '!$D:$D,'Misselaneos '!$B:$B,Balance!AE1,'Misselaneos '!$E:$E,$C$35)</f>
        <v>0</v>
      </c>
      <c r="AF36" s="115">
        <f>SUMIFS('Misselaneos '!$D:$D,'Misselaneos '!$B:$B,Balance!AF1,'Misselaneos '!$E:$E,$C$35)</f>
        <v>0</v>
      </c>
      <c r="AG36" s="115">
        <f>SUMIFS('Misselaneos '!$D:$D,'Misselaneos '!$B:$B,Balance!AG1,'Misselaneos '!$E:$E,$C$35)</f>
        <v>0</v>
      </c>
      <c r="AH36" s="115">
        <f>SUMIFS('Misselaneos '!$D:$D,'Misselaneos '!$B:$B,Balance!AH1,'Misselaneos '!$E:$E,$C$35)</f>
        <v>0</v>
      </c>
      <c r="AI36" s="115">
        <f>SUMIFS('Misselaneos '!$D:$D,'Misselaneos '!$B:$B,Balance!AI1,'Misselaneos '!$E:$E,$C$35)</f>
        <v>0</v>
      </c>
      <c r="AJ36" s="115">
        <f>SUMIFS('Misselaneos '!$D:$D,'Misselaneos '!$B:$B,Balance!AJ1,'Misselaneos '!$E:$E,$C$35)</f>
        <v>0</v>
      </c>
      <c r="AK36" s="115">
        <f>SUMIFS('Misselaneos '!$D:$D,'Misselaneos '!$B:$B,Balance!AK1,'Misselaneos '!$E:$E,$C$35)</f>
        <v>0</v>
      </c>
      <c r="AL36" s="115">
        <f>SUMIFS('Misselaneos '!$D:$D,'Misselaneos '!$B:$B,Balance!AL1,'Misselaneos '!$E:$E,$C$35)</f>
        <v>0</v>
      </c>
      <c r="AM36" s="115">
        <f>SUMIFS('Misselaneos '!$D:$D,'Misselaneos '!$B:$B,Balance!AM1,'Misselaneos '!$E:$E,$C$35)</f>
        <v>0</v>
      </c>
      <c r="AN36" s="115">
        <f>SUMIFS('Misselaneos '!$D:$D,'Misselaneos '!$B:$B,Balance!AN1,'Misselaneos '!$E:$E,$C$35)</f>
        <v>0</v>
      </c>
      <c r="AO36" s="115">
        <f>SUMIFS('Misselaneos '!$D:$D,'Misselaneos '!$B:$B,Balance!AO1,'Misselaneos '!$E:$E,$C$35)</f>
        <v>0</v>
      </c>
      <c r="AP36" s="115">
        <f>SUMIFS('Misselaneos '!$D:$D,'Misselaneos '!$B:$B,Balance!AP1,'Misselaneos '!$E:$E,$C$35)</f>
        <v>0</v>
      </c>
      <c r="AQ36" s="115">
        <f>SUMIFS('Misselaneos '!$D:$D,'Misselaneos '!$B:$B,Balance!AQ1,'Misselaneos '!$E:$E,$C$35)</f>
        <v>0</v>
      </c>
      <c r="AR36" s="115">
        <f>SUMIFS('Misselaneos '!$D:$D,'Misselaneos '!$B:$B,Balance!AR1,'Misselaneos '!$E:$E,$C$35)</f>
        <v>0</v>
      </c>
      <c r="AS36" s="115">
        <f>SUMIFS('Misselaneos '!$D:$D,'Misselaneos '!$B:$B,Balance!AS1,'Misselaneos '!$E:$E,$C$35)</f>
        <v>0</v>
      </c>
      <c r="AT36" s="115">
        <f>SUMIFS('Misselaneos '!$D:$D,'Misselaneos '!$B:$B,Balance!AT1,'Misselaneos '!$E:$E,$C$35)</f>
        <v>0</v>
      </c>
      <c r="AU36" s="115">
        <f>SUMIFS('Misselaneos '!$D:$D,'Misselaneos '!$B:$B,Balance!AU1,'Misselaneos '!$E:$E,$C$35)</f>
        <v>0</v>
      </c>
      <c r="AV36" s="115">
        <f>SUMIFS('Misselaneos '!$D:$D,'Misselaneos '!$B:$B,Balance!AV1,'Misselaneos '!$E:$E,$C$35)</f>
        <v>0</v>
      </c>
      <c r="AW36" s="115">
        <f>SUMIFS('Misselaneos '!$D:$D,'Misselaneos '!$B:$B,Balance!AW1,'Misselaneos '!$E:$E,$C$35)</f>
        <v>0</v>
      </c>
      <c r="AX36" s="115">
        <f>SUMIFS('Misselaneos '!$D:$D,'Misselaneos '!$B:$B,Balance!AX1,'Misselaneos '!$E:$E,$C$35)</f>
        <v>0</v>
      </c>
      <c r="AY36" s="115">
        <f>SUMIFS('Misselaneos '!$D:$D,'Misselaneos '!$B:$B,Balance!AY1,'Misselaneos '!$E:$E,$C$35)</f>
        <v>0</v>
      </c>
      <c r="AZ36" s="115">
        <f>SUMIFS('Misselaneos '!$D:$D,'Misselaneos '!$B:$B,Balance!AZ1,'Misselaneos '!$E:$E,$C$35)</f>
        <v>0</v>
      </c>
      <c r="BA36" s="115">
        <f>SUMIFS('Misselaneos '!$D:$D,'Misselaneos '!$B:$B,Balance!BA1,'Misselaneos '!$E:$E,$C$35)</f>
        <v>0</v>
      </c>
      <c r="BB36" s="115">
        <f>SUMIFS('Misselaneos '!$D:$D,'Misselaneos '!$B:$B,Balance!BB1,'Misselaneos '!$E:$E,$C$35)</f>
        <v>0</v>
      </c>
      <c r="BC36" s="115">
        <f>SUMIFS('Misselaneos '!$D:$D,'Misselaneos '!$B:$B,Balance!BC1,'Misselaneos '!$E:$E,$C$35)</f>
        <v>0</v>
      </c>
      <c r="BD36" s="115">
        <f>SUMIFS('Misselaneos '!$D:$D,'Misselaneos '!$B:$B,Balance!BD1,'Misselaneos '!$E:$E,$C$35)</f>
        <v>0</v>
      </c>
      <c r="BE36" s="115">
        <f>SUMIFS('Misselaneos '!$D:$D,'Misselaneos '!$B:$B,Balance!BE1,'Misselaneos '!$E:$E,$C$35)</f>
        <v>0</v>
      </c>
      <c r="BF36" s="115">
        <f>SUMIFS('Misselaneos '!$D:$D,'Misselaneos '!$B:$B,Balance!BF1,'Misselaneos '!$E:$E,$C$35)</f>
        <v>0</v>
      </c>
      <c r="BG36" s="115">
        <f>SUMIFS('Misselaneos '!$D:$D,'Misselaneos '!$B:$B,Balance!BG1,'Misselaneos '!$E:$E,$C$35)</f>
        <v>0</v>
      </c>
      <c r="BH36" s="115">
        <f>SUMIFS('Misselaneos '!$D:$D,'Misselaneos '!$B:$B,Balance!BH1,'Misselaneos '!$E:$E,$C$35)</f>
        <v>0</v>
      </c>
      <c r="BI36" s="115">
        <f>SUMIFS('Misselaneos '!$D:$D,'Misselaneos '!$B:$B,Balance!BI1,'Misselaneos '!$E:$E,$C$35)</f>
        <v>0</v>
      </c>
      <c r="BJ36" s="115">
        <f>SUMIFS('Misselaneos '!$D:$D,'Misselaneos '!$B:$B,Balance!BJ1,'Misselaneos '!$E:$E,$C$35)</f>
        <v>0</v>
      </c>
    </row>
    <row r="37" spans="1:62" x14ac:dyDescent="0.25">
      <c r="A37" s="54" t="str">
        <f>IF(D37&gt;0,MAX($A$16:A35)+1,"")</f>
        <v/>
      </c>
      <c r="D37" s="40"/>
      <c r="E37" s="91"/>
      <c r="F37" s="39"/>
      <c r="G37" s="39"/>
      <c r="H37" s="39"/>
      <c r="I37" s="39"/>
      <c r="J37" s="125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</row>
    <row r="38" spans="1:62" x14ac:dyDescent="0.25">
      <c r="A38" s="54">
        <f>IF(D38&gt;0,MAX($A$16:A37)+1,"")</f>
        <v>4</v>
      </c>
      <c r="D38" s="40" t="s">
        <v>54</v>
      </c>
      <c r="E38" s="91"/>
      <c r="F38" s="39"/>
      <c r="G38" s="39"/>
      <c r="H38" s="39"/>
      <c r="I38" s="39"/>
      <c r="J38" s="125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</row>
    <row r="39" spans="1:62" x14ac:dyDescent="0.25">
      <c r="A39" s="54" t="str">
        <f>IF(D39&gt;0,MAX($A$16:A38)+1,"")</f>
        <v/>
      </c>
      <c r="E39" s="91"/>
      <c r="F39" s="3"/>
      <c r="G39" s="3"/>
      <c r="H39" s="3"/>
      <c r="I39" s="3"/>
      <c r="J39" s="12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</row>
    <row r="40" spans="1:62" x14ac:dyDescent="0.25">
      <c r="A40" s="54"/>
      <c r="E40" s="91"/>
      <c r="F40" s="120"/>
      <c r="P40" s="3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spans="1:62" ht="16.5" thickBot="1" x14ac:dyDescent="0.3">
      <c r="A41" s="54" t="str">
        <f>IF(D41&gt;0,MAX($A$16:A39)+1,"")</f>
        <v/>
      </c>
      <c r="B41" s="42"/>
      <c r="C41" s="43"/>
      <c r="D41" s="45"/>
      <c r="E41" s="93"/>
      <c r="F41" s="44"/>
      <c r="G41" s="44"/>
      <c r="H41" s="44"/>
      <c r="I41" s="44"/>
      <c r="J41" s="126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</row>
    <row r="42" spans="1:62" ht="16.5" thickTop="1" x14ac:dyDescent="0.25">
      <c r="A42" s="54" t="str">
        <f>IF(D42&gt;0,MAX($A$16:A41)+1,"")</f>
        <v/>
      </c>
      <c r="B42" s="4" t="s">
        <v>4</v>
      </c>
      <c r="C42" s="1"/>
      <c r="E42" s="91"/>
      <c r="F42" s="3"/>
      <c r="G42" s="3"/>
      <c r="H42" s="3"/>
      <c r="I42" s="3"/>
      <c r="J42" s="12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</row>
    <row r="43" spans="1:62" ht="15" x14ac:dyDescent="0.25">
      <c r="A43" s="54" t="str">
        <f>IF(D43&gt;0,MAX($A$16:A42)+1,"")</f>
        <v/>
      </c>
      <c r="C43" s="60" t="s">
        <v>5</v>
      </c>
      <c r="E43" s="94">
        <f ca="1">SUMIF(1:1,"&lt;="&amp;'Misselaneos '!H1,17:17)-SUMIF('Misselaneos '!E:E,Balance!C43,'Misselaneos '!D:D)+5119</f>
        <v>619</v>
      </c>
      <c r="F43" s="3">
        <f>SUM(F17:F20)</f>
        <v>7000</v>
      </c>
      <c r="G43" s="3">
        <f>SUM(G17:G20)</f>
        <v>7000</v>
      </c>
      <c r="H43" s="3">
        <f t="shared" ref="H43:O43" si="7">SUM(H17:H20)-H44</f>
        <v>7000</v>
      </c>
      <c r="I43" s="3">
        <f t="shared" si="7"/>
        <v>7000</v>
      </c>
      <c r="J43" s="123">
        <f t="shared" si="7"/>
        <v>7000</v>
      </c>
      <c r="K43" s="3">
        <f t="shared" si="7"/>
        <v>7000</v>
      </c>
      <c r="L43" s="3">
        <f t="shared" si="7"/>
        <v>7000</v>
      </c>
      <c r="M43" s="3">
        <f t="shared" si="7"/>
        <v>7000</v>
      </c>
      <c r="N43" s="3">
        <f t="shared" si="7"/>
        <v>7000</v>
      </c>
      <c r="O43" s="3">
        <f t="shared" si="7"/>
        <v>7000</v>
      </c>
      <c r="P43" s="3">
        <f t="shared" ref="P43:AA43" si="8">SUM(P17:P20)</f>
        <v>7000</v>
      </c>
      <c r="Q43" s="3">
        <f t="shared" si="8"/>
        <v>7000</v>
      </c>
      <c r="R43" s="3">
        <f t="shared" si="8"/>
        <v>7000</v>
      </c>
      <c r="S43" s="3">
        <f t="shared" si="8"/>
        <v>7000</v>
      </c>
      <c r="T43" s="3">
        <f t="shared" si="8"/>
        <v>7000</v>
      </c>
      <c r="U43" s="3">
        <f t="shared" si="8"/>
        <v>7000</v>
      </c>
      <c r="V43" s="3">
        <f t="shared" si="8"/>
        <v>0</v>
      </c>
      <c r="W43" s="3">
        <f t="shared" si="8"/>
        <v>0</v>
      </c>
      <c r="X43" s="3">
        <f t="shared" si="8"/>
        <v>7000</v>
      </c>
      <c r="Y43" s="3">
        <f t="shared" si="8"/>
        <v>7000</v>
      </c>
      <c r="Z43" s="3">
        <f t="shared" si="8"/>
        <v>7000</v>
      </c>
      <c r="AA43" s="3">
        <f t="shared" si="8"/>
        <v>7000</v>
      </c>
      <c r="AB43" s="3">
        <f t="shared" ref="AB43:BJ43" si="9">SUM(AB17:AB20)</f>
        <v>7000</v>
      </c>
      <c r="AC43" s="3">
        <f t="shared" si="9"/>
        <v>7000</v>
      </c>
      <c r="AD43" s="3">
        <f t="shared" si="9"/>
        <v>7000</v>
      </c>
      <c r="AE43" s="3">
        <f t="shared" si="9"/>
        <v>7000</v>
      </c>
      <c r="AF43" s="3">
        <f t="shared" si="9"/>
        <v>7000</v>
      </c>
      <c r="AG43" s="3">
        <f t="shared" si="9"/>
        <v>7000</v>
      </c>
      <c r="AH43" s="3">
        <f t="shared" si="9"/>
        <v>7000</v>
      </c>
      <c r="AI43" s="3">
        <f t="shared" si="9"/>
        <v>7000</v>
      </c>
      <c r="AJ43" s="3">
        <f t="shared" si="9"/>
        <v>7000</v>
      </c>
      <c r="AK43" s="3">
        <f t="shared" si="9"/>
        <v>7000</v>
      </c>
      <c r="AL43" s="3">
        <f t="shared" si="9"/>
        <v>7000</v>
      </c>
      <c r="AM43" s="3">
        <f t="shared" si="9"/>
        <v>7000</v>
      </c>
      <c r="AN43" s="3">
        <f t="shared" si="9"/>
        <v>7000</v>
      </c>
      <c r="AO43" s="3">
        <f t="shared" si="9"/>
        <v>7000</v>
      </c>
      <c r="AP43" s="3">
        <f t="shared" si="9"/>
        <v>7000</v>
      </c>
      <c r="AQ43" s="3">
        <f t="shared" si="9"/>
        <v>7000</v>
      </c>
      <c r="AR43" s="3">
        <f t="shared" si="9"/>
        <v>7000</v>
      </c>
      <c r="AS43" s="3">
        <f t="shared" si="9"/>
        <v>7000</v>
      </c>
      <c r="AT43" s="3">
        <f t="shared" si="9"/>
        <v>7000</v>
      </c>
      <c r="AU43" s="3">
        <f t="shared" si="9"/>
        <v>7000</v>
      </c>
      <c r="AV43" s="3">
        <f t="shared" si="9"/>
        <v>7000</v>
      </c>
      <c r="AW43" s="3">
        <f t="shared" si="9"/>
        <v>7000</v>
      </c>
      <c r="AX43" s="3">
        <f t="shared" si="9"/>
        <v>7000</v>
      </c>
      <c r="AY43" s="3">
        <f t="shared" si="9"/>
        <v>7000</v>
      </c>
      <c r="AZ43" s="3">
        <f t="shared" si="9"/>
        <v>7000</v>
      </c>
      <c r="BA43" s="3">
        <f t="shared" si="9"/>
        <v>7000</v>
      </c>
      <c r="BB43" s="3">
        <f t="shared" si="9"/>
        <v>7000</v>
      </c>
      <c r="BC43" s="3">
        <f t="shared" si="9"/>
        <v>0</v>
      </c>
      <c r="BD43" s="3">
        <f t="shared" si="9"/>
        <v>7000</v>
      </c>
      <c r="BE43" s="3">
        <f t="shared" si="9"/>
        <v>7000</v>
      </c>
      <c r="BF43" s="3">
        <f t="shared" si="9"/>
        <v>7000</v>
      </c>
      <c r="BG43" s="3">
        <f t="shared" si="9"/>
        <v>7000</v>
      </c>
      <c r="BH43" s="3">
        <f t="shared" si="9"/>
        <v>7000</v>
      </c>
      <c r="BI43" s="3">
        <f t="shared" si="9"/>
        <v>7000</v>
      </c>
      <c r="BJ43" s="3">
        <f t="shared" si="9"/>
        <v>7000</v>
      </c>
    </row>
    <row r="44" spans="1:62" x14ac:dyDescent="0.25">
      <c r="A44" s="54" t="str">
        <f>IF(D44&gt;0,MAX($A$16:A43)+1,"")</f>
        <v/>
      </c>
      <c r="B44" s="41"/>
      <c r="C44" s="57" t="s">
        <v>12</v>
      </c>
      <c r="D44" s="56"/>
      <c r="E44" s="49"/>
      <c r="F44" s="115">
        <f>SUMIFS('Misselaneos '!$D:$D,'Misselaneos '!$B:$B,Balance!F1,'Misselaneos '!$E:$E,$C43)</f>
        <v>0</v>
      </c>
      <c r="G44" s="115">
        <f>SUMIFS('Misselaneos '!$D:$D,'Misselaneos '!$B:$B,Balance!G1,'Misselaneos '!$E:$E,$C43)</f>
        <v>0</v>
      </c>
      <c r="H44" s="115">
        <f>SUMIFS('Misselaneos '!$D:$D,'Misselaneos '!$B:$B,Balance!H1,'Misselaneos '!$E:$E,$C43)</f>
        <v>0</v>
      </c>
      <c r="I44" s="115">
        <f>SUMIFS('Misselaneos '!$D:$D,'Misselaneos '!$B:$B,Balance!I1,'Misselaneos '!$E:$E,$C43)</f>
        <v>0</v>
      </c>
      <c r="J44" s="127">
        <f>SUMIFS('Misselaneos '!$D:$D,'Misselaneos '!$B:$B,Balance!J1,'Misselaneos '!$E:$E,$C43)</f>
        <v>0</v>
      </c>
      <c r="K44" s="115">
        <f>SUMIFS('Misselaneos '!$D:$D,'Misselaneos '!$B:$B,Balance!K1,'Misselaneos '!$E:$E,$C43)</f>
        <v>0</v>
      </c>
      <c r="L44" s="115">
        <f>SUMIFS('Misselaneos '!$D:$D,'Misselaneos '!$B:$B,Balance!L1,'Misselaneos '!$E:$E,$C43)</f>
        <v>0</v>
      </c>
      <c r="M44" s="115">
        <f>SUMIFS('Misselaneos '!$D:$D,'Misselaneos '!$B:$B,Balance!M1,'Misselaneos '!$E:$E,$C43)</f>
        <v>0</v>
      </c>
      <c r="N44" s="115">
        <f>SUMIFS('Misselaneos '!$D:$D,'Misselaneos '!$B:$B,Balance!N1,'Misselaneos '!$E:$E,$C43)</f>
        <v>0</v>
      </c>
      <c r="O44" s="115">
        <f>SUMIFS('Misselaneos '!$D:$D,'Misselaneos '!$B:$B,Balance!O1,'Misselaneos '!$E:$E,$C43)</f>
        <v>0</v>
      </c>
      <c r="P44" s="115">
        <f>SUMIFS('Misselaneos '!$D:$D,'Misselaneos '!$B:$B,Balance!P1,'Misselaneos '!$E:$E,$C43)</f>
        <v>0</v>
      </c>
      <c r="Q44" s="115">
        <f>SUMIFS('Misselaneos '!$D:$D,'Misselaneos '!$B:$B,Balance!Q1,'Misselaneos '!$E:$E,$C43)</f>
        <v>0</v>
      </c>
      <c r="R44" s="115">
        <f>SUMIFS('Misselaneos '!$D:$D,'Misselaneos '!$B:$B,Balance!R1,'Misselaneos '!$E:$E,$C43)</f>
        <v>0</v>
      </c>
      <c r="S44" s="115">
        <f>SUMIFS('Misselaneos '!$D:$D,'Misselaneos '!$B:$B,Balance!S1,'Misselaneos '!$E:$E,$C43)</f>
        <v>0</v>
      </c>
      <c r="T44" s="115">
        <f>SUMIFS('Misselaneos '!$D:$D,'Misselaneos '!$B:$B,Balance!T1,'Misselaneos '!$E:$E,$C43)</f>
        <v>0</v>
      </c>
      <c r="U44" s="115">
        <f>SUMIFS('Misselaneos '!$D:$D,'Misselaneos '!$B:$B,Balance!U1,'Misselaneos '!$E:$E,$C43)</f>
        <v>0</v>
      </c>
      <c r="V44" s="115">
        <f>SUMIFS('Misselaneos '!$D:$D,'Misselaneos '!$B:$B,Balance!V1,'Misselaneos '!$E:$E,$C43)</f>
        <v>0</v>
      </c>
      <c r="W44" s="115">
        <f>SUMIFS('Misselaneos '!$D:$D,'Misselaneos '!$B:$B,Balance!W1,'Misselaneos '!$E:$E,$C43)</f>
        <v>0</v>
      </c>
      <c r="X44" s="115">
        <f>SUMIFS('Misselaneos '!$D:$D,'Misselaneos '!$B:$B,Balance!X1,'Misselaneos '!$E:$E,$C43)</f>
        <v>0</v>
      </c>
      <c r="Y44" s="115">
        <f>SUMIFS('Misselaneos '!$D:$D,'Misselaneos '!$B:$B,Balance!Y1,'Misselaneos '!$E:$E,$C43)</f>
        <v>0</v>
      </c>
      <c r="Z44" s="115">
        <f>SUMIFS('Misselaneos '!$D:$D,'Misselaneos '!$B:$B,Balance!Z1,'Misselaneos '!$E:$E,$C43)</f>
        <v>0</v>
      </c>
      <c r="AA44" s="115">
        <f>SUMIFS('Misselaneos '!$D:$D,'Misselaneos '!$B:$B,Balance!AA1,'Misselaneos '!$E:$E,$C43)</f>
        <v>0</v>
      </c>
      <c r="AB44" s="115">
        <f>SUMIFS('Misselaneos '!$D:$D,'Misselaneos '!$B:$B,Balance!AB1,'Misselaneos '!$E:$E,$C43)</f>
        <v>0</v>
      </c>
      <c r="AC44" s="115">
        <f>SUMIFS('Misselaneos '!$D:$D,'Misselaneos '!$B:$B,Balance!AC1,'Misselaneos '!$E:$E,$C43)</f>
        <v>0</v>
      </c>
      <c r="AD44" s="115">
        <f>SUMIFS('Misselaneos '!$D:$D,'Misselaneos '!$B:$B,Balance!AD1,'Misselaneos '!$E:$E,$C43)</f>
        <v>0</v>
      </c>
      <c r="AE44" s="115">
        <f>SUMIFS('Misselaneos '!$D:$D,'Misselaneos '!$B:$B,Balance!AE1,'Misselaneos '!$E:$E,$C43)</f>
        <v>0</v>
      </c>
      <c r="AF44" s="115">
        <f>SUMIFS('Misselaneos '!$D:$D,'Misselaneos '!$B:$B,Balance!AF1,'Misselaneos '!$E:$E,$C43)</f>
        <v>0</v>
      </c>
      <c r="AG44" s="115">
        <f>SUMIFS('Misselaneos '!$D:$D,'Misselaneos '!$B:$B,Balance!AG1,'Misselaneos '!$E:$E,$C43)</f>
        <v>0</v>
      </c>
      <c r="AH44" s="115">
        <f>SUMIFS('Misselaneos '!$D:$D,'Misselaneos '!$B:$B,Balance!AH1,'Misselaneos '!$E:$E,$C43)</f>
        <v>0</v>
      </c>
      <c r="AI44" s="115">
        <f>SUMIFS('Misselaneos '!$D:$D,'Misselaneos '!$B:$B,Balance!AI1,'Misselaneos '!$E:$E,$C43)</f>
        <v>0</v>
      </c>
      <c r="AJ44" s="115">
        <f>SUMIFS('Misselaneos '!$D:$D,'Misselaneos '!$B:$B,Balance!AJ1,'Misselaneos '!$E:$E,$C43)</f>
        <v>0</v>
      </c>
      <c r="AK44" s="115">
        <f>SUMIFS('Misselaneos '!$D:$D,'Misselaneos '!$B:$B,Balance!AK1,'Misselaneos '!$E:$E,$C43)</f>
        <v>0</v>
      </c>
      <c r="AL44" s="115">
        <f>SUMIFS('Misselaneos '!$D:$D,'Misselaneos '!$B:$B,Balance!AL1,'Misselaneos '!$E:$E,$C43)</f>
        <v>0</v>
      </c>
      <c r="AM44" s="115">
        <f>SUMIFS('Misselaneos '!$D:$D,'Misselaneos '!$B:$B,Balance!AM1,'Misselaneos '!$E:$E,$C43)</f>
        <v>0</v>
      </c>
      <c r="AN44" s="115">
        <f>SUMIFS('Misselaneos '!$D:$D,'Misselaneos '!$B:$B,Balance!AN1,'Misselaneos '!$E:$E,$C43)</f>
        <v>0</v>
      </c>
      <c r="AO44" s="115">
        <f>SUMIFS('Misselaneos '!$D:$D,'Misselaneos '!$B:$B,Balance!AO1,'Misselaneos '!$E:$E,$C43)</f>
        <v>0</v>
      </c>
      <c r="AP44" s="115">
        <f>SUMIFS('Misselaneos '!$D:$D,'Misselaneos '!$B:$B,Balance!AP1,'Misselaneos '!$E:$E,$C43)</f>
        <v>0</v>
      </c>
      <c r="AQ44" s="115">
        <f>SUMIFS('Misselaneos '!$D:$D,'Misselaneos '!$B:$B,Balance!AQ1,'Misselaneos '!$E:$E,$C43)</f>
        <v>0</v>
      </c>
      <c r="AR44" s="115">
        <f>SUMIFS('Misselaneos '!$D:$D,'Misselaneos '!$B:$B,Balance!AR1,'Misselaneos '!$E:$E,$C43)</f>
        <v>0</v>
      </c>
      <c r="AS44" s="115">
        <f>SUMIFS('Misselaneos '!$D:$D,'Misselaneos '!$B:$B,Balance!AS1,'Misselaneos '!$E:$E,$C43)</f>
        <v>0</v>
      </c>
      <c r="AT44" s="115">
        <f>SUMIFS('Misselaneos '!$D:$D,'Misselaneos '!$B:$B,Balance!AT1,'Misselaneos '!$E:$E,$C43)</f>
        <v>0</v>
      </c>
      <c r="AU44" s="115">
        <f>SUMIFS('Misselaneos '!$D:$D,'Misselaneos '!$B:$B,Balance!AU1,'Misselaneos '!$E:$E,$C43)</f>
        <v>0</v>
      </c>
      <c r="AV44" s="115">
        <f>SUMIFS('Misselaneos '!$D:$D,'Misselaneos '!$B:$B,Balance!AV1,'Misselaneos '!$E:$E,$C43)</f>
        <v>0</v>
      </c>
      <c r="AW44" s="115">
        <f>SUMIFS('Misselaneos '!$D:$D,'Misselaneos '!$B:$B,Balance!AW1,'Misselaneos '!$E:$E,$C43)</f>
        <v>0</v>
      </c>
      <c r="AX44" s="115">
        <f>SUMIFS('Misselaneos '!$D:$D,'Misselaneos '!$B:$B,Balance!AX1,'Misselaneos '!$E:$E,$C43)</f>
        <v>0</v>
      </c>
      <c r="AY44" s="115">
        <f>SUMIFS('Misselaneos '!$D:$D,'Misselaneos '!$B:$B,Balance!AY1,'Misselaneos '!$E:$E,$C43)</f>
        <v>0</v>
      </c>
      <c r="AZ44" s="115">
        <f>SUMIFS('Misselaneos '!$D:$D,'Misselaneos '!$B:$B,Balance!AZ1,'Misselaneos '!$E:$E,$C43)</f>
        <v>0</v>
      </c>
      <c r="BA44" s="115">
        <f>SUMIFS('Misselaneos '!$D:$D,'Misselaneos '!$B:$B,Balance!BA1,'Misselaneos '!$E:$E,$C43)</f>
        <v>0</v>
      </c>
      <c r="BB44" s="115">
        <f>SUMIFS('Misselaneos '!$D:$D,'Misselaneos '!$B:$B,Balance!BB1,'Misselaneos '!$E:$E,$C43)</f>
        <v>0</v>
      </c>
      <c r="BC44" s="115">
        <f>SUMIFS('Misselaneos '!$D:$D,'Misselaneos '!$B:$B,Balance!BC1,'Misselaneos '!$E:$E,$C43)</f>
        <v>0</v>
      </c>
      <c r="BD44" s="115">
        <f>SUMIFS('Misselaneos '!$D:$D,'Misselaneos '!$B:$B,Balance!BD1,'Misselaneos '!$E:$E,$C43)</f>
        <v>0</v>
      </c>
      <c r="BE44" s="115">
        <f>SUMIFS('Misselaneos '!$D:$D,'Misselaneos '!$B:$B,Balance!BE1,'Misselaneos '!$E:$E,$C43)</f>
        <v>0</v>
      </c>
      <c r="BF44" s="115">
        <f>SUMIFS('Misselaneos '!$D:$D,'Misselaneos '!$B:$B,Balance!BF1,'Misselaneos '!$E:$E,$C43)</f>
        <v>0</v>
      </c>
      <c r="BG44" s="115">
        <f>SUMIFS('Misselaneos '!$D:$D,'Misselaneos '!$B:$B,Balance!BG1,'Misselaneos '!$E:$E,$C43)</f>
        <v>0</v>
      </c>
      <c r="BH44" s="115">
        <f>SUMIFS('Misselaneos '!$D:$D,'Misselaneos '!$B:$B,Balance!BH1,'Misselaneos '!$E:$E,$C43)</f>
        <v>0</v>
      </c>
      <c r="BI44" s="115">
        <f>SUMIFS('Misselaneos '!$D:$D,'Misselaneos '!$B:$B,Balance!BI1,'Misselaneos '!$E:$E,$C43)</f>
        <v>0</v>
      </c>
      <c r="BJ44" s="115">
        <f>SUMIFS('Misselaneos '!$D:$D,'Misselaneos '!$B:$B,Balance!BJ1,'Misselaneos '!$E:$E,$C43)</f>
        <v>0</v>
      </c>
    </row>
    <row r="45" spans="1:62" x14ac:dyDescent="0.25">
      <c r="A45" s="54">
        <f>IF(D45&gt;0,MAX($A$16:A44)+1,"")</f>
        <v>5</v>
      </c>
      <c r="D45" t="s">
        <v>51</v>
      </c>
      <c r="E45" s="91"/>
      <c r="F45" s="39"/>
      <c r="G45">
        <v>2500</v>
      </c>
      <c r="H45" s="39"/>
      <c r="I45" s="39"/>
      <c r="J45" s="125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</row>
    <row r="46" spans="1:62" x14ac:dyDescent="0.25">
      <c r="A46" s="54">
        <f>IF(D46&gt;0,MAX($A$16:A45)+1,"")</f>
        <v>6</v>
      </c>
      <c r="D46" t="s">
        <v>53</v>
      </c>
      <c r="E46" s="91"/>
      <c r="F46" s="3">
        <v>6000</v>
      </c>
      <c r="G46"/>
      <c r="H46" s="3">
        <v>5000</v>
      </c>
      <c r="I46" s="3"/>
      <c r="J46" s="12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</row>
    <row r="47" spans="1:62" x14ac:dyDescent="0.25">
      <c r="A47" s="54">
        <f>IF(D47&gt;0,MAX($A$16:A46)+1,"")</f>
        <v>7</v>
      </c>
      <c r="D47" t="s">
        <v>56</v>
      </c>
      <c r="E47" s="91"/>
      <c r="F47" s="3"/>
      <c r="G47">
        <v>500</v>
      </c>
      <c r="H47" s="3"/>
      <c r="I47" s="3"/>
      <c r="J47" s="12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</row>
    <row r="48" spans="1:62" x14ac:dyDescent="0.25">
      <c r="A48" s="54">
        <f>IF(D48&gt;0,MAX($A$16:A47)+1,"")</f>
        <v>8</v>
      </c>
      <c r="D48" t="s">
        <v>56</v>
      </c>
      <c r="E48" s="91"/>
      <c r="F48" s="3"/>
      <c r="G48">
        <v>500</v>
      </c>
      <c r="H48" s="3"/>
      <c r="I48" s="3"/>
      <c r="J48" s="12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</row>
    <row r="49" spans="1:62" x14ac:dyDescent="0.25">
      <c r="A49" s="54">
        <f>IF(D49&gt;0,MAX($A$16:A48)+1,"")</f>
        <v>9</v>
      </c>
      <c r="D49" t="s">
        <v>56</v>
      </c>
      <c r="E49" s="91"/>
      <c r="F49" s="92"/>
      <c r="G49">
        <v>500</v>
      </c>
      <c r="H49" s="3"/>
      <c r="I49" s="3"/>
      <c r="J49" s="12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</row>
    <row r="50" spans="1:62" x14ac:dyDescent="0.25">
      <c r="A50" s="54">
        <f>IF(D50&gt;0,MAX($A$16:A49)+1,"")</f>
        <v>10</v>
      </c>
      <c r="D50" t="s">
        <v>56</v>
      </c>
      <c r="E50" s="91"/>
      <c r="F50" s="39"/>
      <c r="G50">
        <v>500</v>
      </c>
      <c r="H50" s="39"/>
      <c r="I50" s="39"/>
      <c r="J50" s="125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</row>
    <row r="51" spans="1:62" x14ac:dyDescent="0.25">
      <c r="A51" s="54">
        <f>IF(D51&gt;0,MAX($A$16:A50)+1,"")</f>
        <v>11</v>
      </c>
      <c r="D51" s="1" t="s">
        <v>62</v>
      </c>
      <c r="E51" s="91"/>
      <c r="F51" s="3"/>
      <c r="G51" s="3"/>
      <c r="H51" s="3"/>
      <c r="I51" s="3">
        <v>1000</v>
      </c>
      <c r="J51" s="3">
        <v>1000</v>
      </c>
      <c r="K51" s="3">
        <v>1000</v>
      </c>
      <c r="L51" s="3">
        <v>1000</v>
      </c>
      <c r="M51" s="3">
        <v>1000</v>
      </c>
      <c r="N51" s="3">
        <v>1000</v>
      </c>
      <c r="O51" s="3">
        <v>1000</v>
      </c>
      <c r="P51" s="3">
        <v>1000</v>
      </c>
      <c r="Q51" s="3">
        <v>1000</v>
      </c>
      <c r="R51" s="3">
        <v>1000</v>
      </c>
      <c r="S51" s="3">
        <v>1000</v>
      </c>
      <c r="T51" s="3">
        <v>1000</v>
      </c>
      <c r="U51" s="3">
        <v>1000</v>
      </c>
      <c r="V51" s="3">
        <v>1000</v>
      </c>
      <c r="W51" s="3">
        <v>1000</v>
      </c>
      <c r="X51" s="3">
        <v>1000</v>
      </c>
      <c r="Y51" s="3">
        <v>1000</v>
      </c>
      <c r="Z51" s="3">
        <v>1000</v>
      </c>
      <c r="AA51" s="3">
        <v>1000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  <row r="52" spans="1:62" ht="16.5" thickBot="1" x14ac:dyDescent="0.3">
      <c r="A52" s="54" t="str">
        <f>IF(D52&gt;0,MAX($A$16:A51)+1,"")</f>
        <v/>
      </c>
      <c r="B52" s="42"/>
      <c r="C52" s="43"/>
      <c r="D52" s="42"/>
      <c r="E52" s="93"/>
      <c r="F52" s="44"/>
      <c r="G52" s="44"/>
      <c r="H52" s="44"/>
      <c r="I52" s="44"/>
      <c r="J52" s="126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</row>
    <row r="53" spans="1:62" ht="16.5" thickTop="1" x14ac:dyDescent="0.25">
      <c r="A53" s="54"/>
      <c r="C53" s="4" t="s">
        <v>20</v>
      </c>
      <c r="E53" s="91"/>
      <c r="F53" s="3"/>
      <c r="G53" s="3"/>
      <c r="H53" s="3"/>
      <c r="I53" s="3"/>
      <c r="J53" s="12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</row>
    <row r="54" spans="1:62" x14ac:dyDescent="0.25">
      <c r="A54" s="54"/>
      <c r="D54" s="1" t="s">
        <v>13</v>
      </c>
      <c r="E54" s="91"/>
      <c r="F54" s="39">
        <v>500</v>
      </c>
      <c r="G54" s="39">
        <v>500</v>
      </c>
      <c r="H54" s="39">
        <v>500</v>
      </c>
      <c r="I54" s="39">
        <v>500</v>
      </c>
      <c r="J54" s="39">
        <v>500</v>
      </c>
      <c r="K54" s="39">
        <v>500</v>
      </c>
      <c r="L54" s="39">
        <v>500</v>
      </c>
      <c r="M54" s="39">
        <v>500</v>
      </c>
      <c r="N54" s="39">
        <v>500</v>
      </c>
      <c r="O54" s="39">
        <v>500</v>
      </c>
      <c r="P54" s="39">
        <v>500</v>
      </c>
      <c r="Q54" s="39">
        <v>500</v>
      </c>
      <c r="R54" s="39">
        <v>500</v>
      </c>
      <c r="S54" s="39">
        <v>500</v>
      </c>
      <c r="T54" s="39">
        <v>500</v>
      </c>
      <c r="U54" s="39">
        <v>500</v>
      </c>
      <c r="V54" s="39">
        <v>500</v>
      </c>
      <c r="W54" s="39">
        <v>500</v>
      </c>
      <c r="X54" s="39">
        <v>500</v>
      </c>
      <c r="Y54" s="39">
        <v>500</v>
      </c>
      <c r="Z54" s="39">
        <v>500</v>
      </c>
      <c r="AA54" s="39">
        <v>500</v>
      </c>
      <c r="AB54" s="39">
        <v>500</v>
      </c>
      <c r="AC54" s="39">
        <v>500</v>
      </c>
      <c r="AD54" s="39">
        <v>500</v>
      </c>
      <c r="AE54" s="39">
        <v>500</v>
      </c>
      <c r="AF54" s="39">
        <v>500</v>
      </c>
      <c r="AG54" s="39">
        <v>500</v>
      </c>
      <c r="AH54" s="39">
        <v>500</v>
      </c>
      <c r="AI54" s="39">
        <v>500</v>
      </c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>
        <v>500</v>
      </c>
      <c r="BG54" s="39"/>
      <c r="BH54" s="39"/>
      <c r="BI54" s="39"/>
      <c r="BJ54" s="39"/>
    </row>
    <row r="55" spans="1:62" x14ac:dyDescent="0.25">
      <c r="A55" s="54"/>
      <c r="D55" s="1" t="s">
        <v>12</v>
      </c>
      <c r="E55" s="91"/>
      <c r="F55" s="3">
        <f>SUMIFS('Misselaneos '!$D:$D,'Misselaneos '!$B:$B,Balance!F1,'Misselaneos '!$E:$E,$C53)</f>
        <v>0</v>
      </c>
      <c r="G55" s="3">
        <f>SUMIFS('Misselaneos '!$D:$D,'Misselaneos '!$B:$B,Balance!G1,'Misselaneos '!$E:$E,$C53)</f>
        <v>0</v>
      </c>
      <c r="H55" s="3">
        <f>SUMIFS('Misselaneos '!$D:$D,'Misselaneos '!$B:$B,Balance!H1,'Misselaneos '!$E:$E,$C53)</f>
        <v>0</v>
      </c>
      <c r="I55" s="3">
        <f>SUMIFS('Misselaneos '!$D:$D,'Misselaneos '!$B:$B,Balance!I1,'Misselaneos '!$E:$E,$C53)</f>
        <v>0</v>
      </c>
      <c r="J55" s="123">
        <f>SUMIFS('Misselaneos '!$D:$D,'Misselaneos '!$B:$B,Balance!J1,'Misselaneos '!$E:$E,$C53)</f>
        <v>0</v>
      </c>
      <c r="K55" s="3">
        <f>SUMIFS('Misselaneos '!$D:$D,'Misselaneos '!$B:$B,Balance!K1,'Misselaneos '!$E:$E,$C53)</f>
        <v>0</v>
      </c>
      <c r="L55" s="3">
        <f>SUMIFS('Misselaneos '!$D:$D,'Misselaneos '!$B:$B,Balance!L1,'Misselaneos '!$E:$E,$C53)</f>
        <v>0</v>
      </c>
      <c r="M55" s="3">
        <f>SUMIFS('Misselaneos '!$D:$D,'Misselaneos '!$B:$B,Balance!M1,'Misselaneos '!$E:$E,$C53)</f>
        <v>0</v>
      </c>
      <c r="N55" s="3">
        <f>SUMIFS('Misselaneos '!$D:$D,'Misselaneos '!$B:$B,Balance!N1,'Misselaneos '!$E:$E,$C53)</f>
        <v>0</v>
      </c>
      <c r="O55" s="3">
        <f>SUMIFS('Misselaneos '!$D:$D,'Misselaneos '!$B:$B,Balance!O1,'Misselaneos '!$E:$E,$C53)</f>
        <v>0</v>
      </c>
      <c r="P55" s="3">
        <f>SUMIFS('Misselaneos '!$D:$D,'Misselaneos '!$B:$B,Balance!P1,'Misselaneos '!$E:$E,$C53)</f>
        <v>0</v>
      </c>
      <c r="Q55" s="3">
        <f>SUMIFS('Misselaneos '!$D:$D,'Misselaneos '!$B:$B,Balance!Q1,'Misselaneos '!$E:$E,$C53)</f>
        <v>0</v>
      </c>
      <c r="R55" s="3">
        <f>SUMIFS('Misselaneos '!$D:$D,'Misselaneos '!$B:$B,Balance!R1,'Misselaneos '!$E:$E,$C53)</f>
        <v>0</v>
      </c>
      <c r="S55" s="3">
        <f>SUMIFS('Misselaneos '!$D:$D,'Misselaneos '!$B:$B,Balance!S1,'Misselaneos '!$E:$E,$C53)</f>
        <v>0</v>
      </c>
      <c r="T55" s="3">
        <f>SUMIFS('Misselaneos '!$D:$D,'Misselaneos '!$B:$B,Balance!T1,'Misselaneos '!$E:$E,$C53)</f>
        <v>0</v>
      </c>
      <c r="U55" s="3">
        <f>SUMIFS('Misselaneos '!$D:$D,'Misselaneos '!$B:$B,Balance!U1,'Misselaneos '!$E:$E,$C53)</f>
        <v>0</v>
      </c>
      <c r="V55" s="3">
        <f>SUMIFS('Misselaneos '!$D:$D,'Misselaneos '!$B:$B,Balance!V1,'Misselaneos '!$E:$E,$C53)</f>
        <v>0</v>
      </c>
      <c r="W55" s="3">
        <f>SUMIFS('Misselaneos '!$D:$D,'Misselaneos '!$B:$B,Balance!W1,'Misselaneos '!$E:$E,$C53)</f>
        <v>0</v>
      </c>
      <c r="X55" s="3">
        <f>SUMIFS('Misselaneos '!$D:$D,'Misselaneos '!$B:$B,Balance!X1,'Misselaneos '!$E:$E,$C53)</f>
        <v>0</v>
      </c>
      <c r="Y55" s="3">
        <f>SUMIFS('Misselaneos '!$D:$D,'Misselaneos '!$B:$B,Balance!Y1,'Misselaneos '!$E:$E,$C53)</f>
        <v>0</v>
      </c>
      <c r="Z55" s="3">
        <f>SUMIFS('Misselaneos '!$D:$D,'Misselaneos '!$B:$B,Balance!Z1,'Misselaneos '!$E:$E,$C53)</f>
        <v>0</v>
      </c>
      <c r="AA55" s="3">
        <f>SUMIFS('Misselaneos '!$D:$D,'Misselaneos '!$B:$B,Balance!AA1,'Misselaneos '!$E:$E,$C53)</f>
        <v>0</v>
      </c>
      <c r="AB55" s="3">
        <f>SUMIFS('Misselaneos '!$D:$D,'Misselaneos '!$B:$B,Balance!AB1,'Misselaneos '!$E:$E,$C53)</f>
        <v>0</v>
      </c>
      <c r="AC55" s="3">
        <f>SUMIFS('Misselaneos '!$D:$D,'Misselaneos '!$B:$B,Balance!AC1,'Misselaneos '!$E:$E,$C53)</f>
        <v>0</v>
      </c>
      <c r="AD55" s="3">
        <f>SUMIFS('Misselaneos '!$D:$D,'Misselaneos '!$B:$B,Balance!AD1,'Misselaneos '!$E:$E,$C53)</f>
        <v>0</v>
      </c>
      <c r="AE55" s="3">
        <f>SUMIFS('Misselaneos '!$D:$D,'Misselaneos '!$B:$B,Balance!AE1,'Misselaneos '!$E:$E,$C53)</f>
        <v>0</v>
      </c>
      <c r="AF55" s="3">
        <f>SUMIFS('Misselaneos '!$D:$D,'Misselaneos '!$B:$B,Balance!AF1,'Misselaneos '!$E:$E,$C53)</f>
        <v>0</v>
      </c>
      <c r="AG55" s="3">
        <f>SUMIFS('Misselaneos '!$D:$D,'Misselaneos '!$B:$B,Balance!AG1,'Misselaneos '!$E:$E,$C53)</f>
        <v>0</v>
      </c>
      <c r="AH55" s="3">
        <f>SUMIFS('Misselaneos '!$D:$D,'Misselaneos '!$B:$B,Balance!AH1,'Misselaneos '!$E:$E,$C53)</f>
        <v>0</v>
      </c>
      <c r="AI55" s="3">
        <f>SUMIFS('Misselaneos '!$D:$D,'Misselaneos '!$B:$B,Balance!AI1,'Misselaneos '!$E:$E,$C53)</f>
        <v>0</v>
      </c>
      <c r="AJ55" s="3">
        <f>SUMIFS('Misselaneos '!$D:$D,'Misselaneos '!$B:$B,Balance!AJ1,'Misselaneos '!$E:$E,$C53)</f>
        <v>0</v>
      </c>
      <c r="AK55" s="3">
        <f>SUMIFS('Misselaneos '!$D:$D,'Misselaneos '!$B:$B,Balance!AK1,'Misselaneos '!$E:$E,$C53)</f>
        <v>0</v>
      </c>
      <c r="AL55" s="3">
        <f>SUMIFS('Misselaneos '!$D:$D,'Misselaneos '!$B:$B,Balance!AL1,'Misselaneos '!$E:$E,$C53)</f>
        <v>0</v>
      </c>
      <c r="AM55" s="3">
        <f>SUMIFS('Misselaneos '!$D:$D,'Misselaneos '!$B:$B,Balance!AM1,'Misselaneos '!$E:$E,$C53)</f>
        <v>0</v>
      </c>
      <c r="AN55" s="3">
        <f>SUMIFS('Misselaneos '!$D:$D,'Misselaneos '!$B:$B,Balance!AN1,'Misselaneos '!$E:$E,$C53)</f>
        <v>0</v>
      </c>
      <c r="AO55" s="3">
        <f>SUMIFS('Misselaneos '!$D:$D,'Misselaneos '!$B:$B,Balance!AO1,'Misselaneos '!$E:$E,$C53)</f>
        <v>0</v>
      </c>
      <c r="AP55" s="3">
        <f>SUMIFS('Misselaneos '!$D:$D,'Misselaneos '!$B:$B,Balance!AP1,'Misselaneos '!$E:$E,$C53)</f>
        <v>0</v>
      </c>
      <c r="AQ55" s="3">
        <f>SUMIFS('Misselaneos '!$D:$D,'Misselaneos '!$B:$B,Balance!AQ1,'Misselaneos '!$E:$E,$C53)</f>
        <v>0</v>
      </c>
      <c r="AR55" s="3">
        <f>SUMIFS('Misselaneos '!$D:$D,'Misselaneos '!$B:$B,Balance!AR1,'Misselaneos '!$E:$E,$C53)</f>
        <v>0</v>
      </c>
      <c r="AS55" s="3">
        <f>SUMIFS('Misselaneos '!$D:$D,'Misselaneos '!$B:$B,Balance!AS1,'Misselaneos '!$E:$E,$C53)</f>
        <v>0</v>
      </c>
      <c r="AT55" s="3">
        <f>SUMIFS('Misselaneos '!$D:$D,'Misselaneos '!$B:$B,Balance!AT1,'Misselaneos '!$E:$E,$C53)</f>
        <v>0</v>
      </c>
      <c r="AU55" s="3">
        <f>SUMIFS('Misselaneos '!$D:$D,'Misselaneos '!$B:$B,Balance!AU1,'Misselaneos '!$E:$E,$C53)</f>
        <v>0</v>
      </c>
      <c r="AV55" s="3">
        <f>SUMIFS('Misselaneos '!$D:$D,'Misselaneos '!$B:$B,Balance!AV1,'Misselaneos '!$E:$E,$C53)</f>
        <v>0</v>
      </c>
      <c r="AW55" s="3">
        <f>SUMIFS('Misselaneos '!$D:$D,'Misselaneos '!$B:$B,Balance!AW1,'Misselaneos '!$E:$E,$C53)</f>
        <v>0</v>
      </c>
      <c r="AX55" s="3">
        <f>SUMIFS('Misselaneos '!$D:$D,'Misselaneos '!$B:$B,Balance!AX1,'Misselaneos '!$E:$E,$C53)</f>
        <v>0</v>
      </c>
      <c r="AY55" s="3">
        <f>SUMIFS('Misselaneos '!$D:$D,'Misselaneos '!$B:$B,Balance!AY1,'Misselaneos '!$E:$E,$C53)</f>
        <v>0</v>
      </c>
      <c r="AZ55" s="3">
        <f>SUMIFS('Misselaneos '!$D:$D,'Misselaneos '!$B:$B,Balance!AZ1,'Misselaneos '!$E:$E,$C53)</f>
        <v>0</v>
      </c>
      <c r="BA55" s="3">
        <f>SUMIFS('Misselaneos '!$D:$D,'Misselaneos '!$B:$B,Balance!BA1,'Misselaneos '!$E:$E,$C53)</f>
        <v>0</v>
      </c>
      <c r="BB55" s="3">
        <f>SUMIFS('Misselaneos '!$D:$D,'Misselaneos '!$B:$B,Balance!BB1,'Misselaneos '!$E:$E,$C53)</f>
        <v>0</v>
      </c>
      <c r="BC55" s="3">
        <f>SUMIFS('Misselaneos '!$D:$D,'Misselaneos '!$B:$B,Balance!BC1,'Misselaneos '!$E:$E,$C53)</f>
        <v>0</v>
      </c>
      <c r="BD55" s="3">
        <f>SUMIFS('Misselaneos '!$D:$D,'Misselaneos '!$B:$B,Balance!BD1,'Misselaneos '!$E:$E,$C53)</f>
        <v>0</v>
      </c>
      <c r="BE55" s="3">
        <f>SUMIFS('Misselaneos '!$D:$D,'Misselaneos '!$B:$B,Balance!BE1,'Misselaneos '!$E:$E,$C53)</f>
        <v>0</v>
      </c>
      <c r="BF55" s="3">
        <f>SUMIFS('Misselaneos '!$D:$D,'Misselaneos '!$B:$B,Balance!BF1,'Misselaneos '!$E:$E,$C53)</f>
        <v>0</v>
      </c>
      <c r="BG55" s="3">
        <f>SUMIFS('Misselaneos '!$D:$D,'Misselaneos '!$B:$B,Balance!BG1,'Misselaneos '!$E:$E,$C53)</f>
        <v>0</v>
      </c>
      <c r="BH55" s="3">
        <f>SUMIFS('Misselaneos '!$D:$D,'Misselaneos '!$B:$B,Balance!BH1,'Misselaneos '!$E:$E,$C53)</f>
        <v>0</v>
      </c>
      <c r="BI55" s="3">
        <f>SUMIFS('Misselaneos '!$D:$D,'Misselaneos '!$B:$B,Balance!BI1,'Misselaneos '!$E:$E,$C53)</f>
        <v>0</v>
      </c>
      <c r="BJ55" s="3">
        <f>SUMIFS('Misselaneos '!$D:$D,'Misselaneos '!$B:$B,Balance!BJ1,'Misselaneos '!$E:$E,$C53)</f>
        <v>0</v>
      </c>
    </row>
    <row r="56" spans="1:62" ht="8.25" customHeight="1" thickBot="1" x14ac:dyDescent="0.3">
      <c r="A56" s="54"/>
      <c r="B56" s="42"/>
      <c r="C56" s="43"/>
      <c r="D56" s="42"/>
      <c r="E56" s="93"/>
      <c r="F56" s="44"/>
      <c r="G56" s="44"/>
      <c r="H56" s="44"/>
      <c r="I56" s="44"/>
      <c r="J56" s="126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</row>
    <row r="57" spans="1:62" ht="16.5" thickTop="1" x14ac:dyDescent="0.25">
      <c r="A57" s="54"/>
      <c r="C57" s="4" t="s">
        <v>15</v>
      </c>
      <c r="D57" s="1" t="s">
        <v>13</v>
      </c>
      <c r="E57" s="91"/>
      <c r="F57" s="92">
        <f ca="1">SUMIF(Eventos!$C:$C,Balance!F1,Eventos!$F:$F)</f>
        <v>0</v>
      </c>
      <c r="G57" s="92">
        <f ca="1">SUMIF(Eventos!$C:$C,Balance!G1,Eventos!$F:$F)</f>
        <v>0</v>
      </c>
      <c r="H57" s="92">
        <f ca="1">SUMIF(Eventos!$C:$C,Balance!H1,Eventos!$F:$F)</f>
        <v>1000</v>
      </c>
      <c r="I57" s="92">
        <f ca="1">SUMIF(Eventos!$C:$C,Balance!I1,Eventos!$F:$F)</f>
        <v>0</v>
      </c>
      <c r="J57" s="132">
        <f ca="1">SUMIF(Eventos!$C:$C,Balance!J1,Eventos!$F:$F)</f>
        <v>0</v>
      </c>
      <c r="K57" s="92">
        <f ca="1">SUMIF(Eventos!$C:$C,Balance!K1,Eventos!$F:$F)</f>
        <v>0</v>
      </c>
      <c r="L57" s="92">
        <f ca="1">SUMIF(Eventos!$C:$C,Balance!L1,Eventos!$F:$F)</f>
        <v>0</v>
      </c>
      <c r="M57" s="92">
        <f ca="1">SUMIF(Eventos!$C:$C,Balance!M1,Eventos!$F:$F)</f>
        <v>0</v>
      </c>
      <c r="N57" s="92">
        <f ca="1">SUMIF(Eventos!$C:$C,Balance!N1,Eventos!$F:$F)</f>
        <v>0</v>
      </c>
      <c r="O57" s="92">
        <f ca="1">SUMIF(Eventos!$C:$C,Balance!O1,Eventos!$F:$F)</f>
        <v>0</v>
      </c>
      <c r="P57" s="92">
        <f ca="1">SUMIF(Eventos!$C:$C,Balance!P1,Eventos!$F:$F)</f>
        <v>0</v>
      </c>
      <c r="Q57" s="92">
        <f ca="1">SUMIF(Eventos!$C:$C,Balance!Q1,Eventos!$F:$F)</f>
        <v>0</v>
      </c>
      <c r="R57" s="92">
        <f ca="1">SUMIF(Eventos!$C:$C,Balance!R1,Eventos!$F:$F)</f>
        <v>0</v>
      </c>
      <c r="S57" s="92">
        <f ca="1">SUMIF(Eventos!$C:$C,Balance!S1,Eventos!$F:$F)</f>
        <v>0</v>
      </c>
      <c r="T57" s="92">
        <f ca="1">SUMIF(Eventos!$C:$C,Balance!T1,Eventos!$F:$F)</f>
        <v>2000</v>
      </c>
      <c r="U57" s="92">
        <f ca="1">SUMIF(Eventos!$C:$C,Balance!U1,Eventos!$F:$F)</f>
        <v>0</v>
      </c>
      <c r="V57" s="92">
        <f ca="1">SUMIF(Eventos!$C:$C,Balance!V1,Eventos!$F:$F)</f>
        <v>0</v>
      </c>
      <c r="W57" s="92">
        <f ca="1">SUMIF(Eventos!$C:$C,Balance!W1,Eventos!$F:$F)</f>
        <v>0</v>
      </c>
      <c r="X57" s="92">
        <f ca="1">SUMIF(Eventos!$C:$C,Balance!X1,Eventos!$F:$F)</f>
        <v>0</v>
      </c>
      <c r="Y57" s="92">
        <f ca="1">SUMIF(Eventos!$C:$C,Balance!Y1,Eventos!$F:$F)</f>
        <v>0</v>
      </c>
      <c r="Z57" s="92">
        <f ca="1">SUMIF(Eventos!$C:$C,Balance!Z1,Eventos!$F:$F)</f>
        <v>0</v>
      </c>
      <c r="AA57" s="92">
        <f ca="1">SUMIF(Eventos!$C:$C,Balance!AA1,Eventos!$F:$F)</f>
        <v>0</v>
      </c>
      <c r="AB57" s="92">
        <f ca="1">SUMIF(Eventos!$C:$C,Balance!AB1,Eventos!$F:$F)</f>
        <v>0</v>
      </c>
      <c r="AC57" s="92">
        <f ca="1">SUMIF(Eventos!$C:$C,Balance!AC1,Eventos!$F:$F)</f>
        <v>0</v>
      </c>
      <c r="AD57" s="92">
        <f ca="1">SUMIF(Eventos!$C:$C,Balance!AD1,Eventos!$F:$F)</f>
        <v>0</v>
      </c>
      <c r="AE57" s="92">
        <f ca="1">SUMIF(Eventos!$C:$C,Balance!AE1,Eventos!$F:$F)</f>
        <v>0</v>
      </c>
      <c r="AF57" s="92">
        <f ca="1">SUMIF(Eventos!$C:$C,Balance!AF1,Eventos!$F:$F)</f>
        <v>0</v>
      </c>
      <c r="AG57" s="92">
        <f ca="1">SUMIF(Eventos!$C:$C,Balance!AG1,Eventos!$F:$F)</f>
        <v>0</v>
      </c>
      <c r="AH57" s="92">
        <f ca="1">SUMIF(Eventos!$C:$C,Balance!AH1,Eventos!$F:$F)</f>
        <v>0</v>
      </c>
      <c r="AI57" s="92">
        <f ca="1">SUMIF(Eventos!$C:$C,Balance!AI1,Eventos!$F:$F)</f>
        <v>0</v>
      </c>
      <c r="AJ57" s="92">
        <f ca="1">SUMIF(Eventos!$C:$C,Balance!AJ1,Eventos!$F:$F)</f>
        <v>0</v>
      </c>
      <c r="AK57" s="92">
        <f ca="1">SUMIF(Eventos!$C:$C,Balance!AK1,Eventos!$F:$F)</f>
        <v>0</v>
      </c>
      <c r="AL57" s="92">
        <f ca="1">SUMIF(Eventos!$C:$C,Balance!AL1,Eventos!$F:$F)</f>
        <v>0</v>
      </c>
      <c r="AM57" s="92">
        <f ca="1">SUMIF(Eventos!$C:$C,Balance!AM1,Eventos!$F:$F)</f>
        <v>0</v>
      </c>
      <c r="AN57" s="92">
        <f ca="1">SUMIF(Eventos!$C:$C,Balance!AN1,Eventos!$F:$F)</f>
        <v>0</v>
      </c>
      <c r="AO57" s="92">
        <f ca="1">SUMIF(Eventos!$C:$C,Balance!AO1,Eventos!$F:$F)</f>
        <v>0</v>
      </c>
      <c r="AP57" s="92">
        <f ca="1">SUMIF(Eventos!$C:$C,Balance!AP1,Eventos!$F:$F)</f>
        <v>0</v>
      </c>
      <c r="AQ57" s="92">
        <f ca="1">SUMIF(Eventos!$C:$C,Balance!AQ1,Eventos!$F:$F)</f>
        <v>0</v>
      </c>
      <c r="AR57" s="92">
        <f ca="1">SUMIF(Eventos!$C:$C,Balance!AR1,Eventos!$F:$F)</f>
        <v>0</v>
      </c>
      <c r="AS57" s="92">
        <f ca="1">SUMIF(Eventos!$C:$C,Balance!AS1,Eventos!$F:$F)</f>
        <v>0</v>
      </c>
      <c r="AT57" s="92">
        <f ca="1">SUMIF(Eventos!$C:$C,Balance!AT1,Eventos!$F:$F)</f>
        <v>0</v>
      </c>
      <c r="AU57" s="92">
        <f ca="1">SUMIF(Eventos!$C:$C,Balance!AU1,Eventos!$F:$F)</f>
        <v>0</v>
      </c>
      <c r="AV57" s="92">
        <f ca="1">SUMIF(Eventos!$C:$C,Balance!AV1,Eventos!$F:$F)</f>
        <v>0</v>
      </c>
      <c r="AW57" s="92">
        <f ca="1">SUMIF(Eventos!$C:$C,Balance!AW1,Eventos!$F:$F)</f>
        <v>0</v>
      </c>
      <c r="AX57" s="92">
        <f ca="1">SUMIF(Eventos!$C:$C,Balance!AX1,Eventos!$F:$F)</f>
        <v>0</v>
      </c>
      <c r="AY57" s="92">
        <f ca="1">SUMIF(Eventos!$C:$C,Balance!AY1,Eventos!$F:$F)</f>
        <v>0</v>
      </c>
      <c r="AZ57" s="92">
        <f ca="1">SUMIF(Eventos!$C:$C,Balance!AZ1,Eventos!$F:$F)</f>
        <v>0</v>
      </c>
      <c r="BA57" s="92">
        <f ca="1">SUMIF(Eventos!$C:$C,Balance!BA1,Eventos!$F:$F)</f>
        <v>0</v>
      </c>
      <c r="BB57" s="92">
        <f ca="1">SUMIF(Eventos!$C:$C,Balance!BB1,Eventos!$F:$F)</f>
        <v>0</v>
      </c>
      <c r="BC57" s="92">
        <f ca="1">SUMIF(Eventos!$C:$C,Balance!BC1,Eventos!$F:$F)</f>
        <v>0</v>
      </c>
      <c r="BD57" s="92">
        <f ca="1">SUMIF(Eventos!$C:$C,Balance!BD1,Eventos!$F:$F)</f>
        <v>0</v>
      </c>
      <c r="BE57" s="92">
        <f ca="1">SUMIF(Eventos!$C:$C,Balance!BE1,Eventos!$F:$F)</f>
        <v>0</v>
      </c>
      <c r="BF57" s="92">
        <f ca="1">SUMIF(Eventos!$C:$C,Balance!BF1,Eventos!$F:$F)</f>
        <v>0</v>
      </c>
      <c r="BG57" s="92">
        <f ca="1">SUMIF(Eventos!$C:$C,Balance!BG1,Eventos!$F:$F)</f>
        <v>0</v>
      </c>
      <c r="BH57" s="92">
        <f ca="1">SUMIF(Eventos!$C:$C,Balance!BH1,Eventos!$F:$F)</f>
        <v>0</v>
      </c>
      <c r="BI57" s="92">
        <f ca="1">SUMIF(Eventos!$C:$C,Balance!BI1,Eventos!$F:$F)</f>
        <v>0</v>
      </c>
      <c r="BJ57" s="92">
        <f ca="1">SUMIF(Eventos!$C:$C,Balance!BJ1,Eventos!$F:$F)</f>
        <v>0</v>
      </c>
    </row>
    <row r="58" spans="1:62" x14ac:dyDescent="0.25">
      <c r="A58" s="54"/>
      <c r="D58" s="1" t="s">
        <v>12</v>
      </c>
      <c r="E58" s="91"/>
      <c r="F58" s="3">
        <f ca="1">SUMIF(Eventos!$D:$D,Balance!F16,Eventos!$G:$G)</f>
        <v>0</v>
      </c>
      <c r="G58" s="3">
        <f ca="1">SUMIF(Eventos!$D:$D,Balance!G16,Eventos!$G:$G)</f>
        <v>0</v>
      </c>
      <c r="H58" s="3">
        <f ca="1">SUMIF(Eventos!$D:$D,Balance!H16,Eventos!$G:$G)</f>
        <v>0</v>
      </c>
      <c r="I58" s="3">
        <f ca="1">SUMIF(Eventos!$D:$D,Balance!I16,Eventos!$G:$G)</f>
        <v>0</v>
      </c>
      <c r="J58" s="123">
        <f ca="1">SUMIF(Eventos!$D:$D,Balance!J16,Eventos!$G:$G)</f>
        <v>0</v>
      </c>
      <c r="K58" s="3">
        <f ca="1">SUMIF(Eventos!$D:$D,Balance!K16,Eventos!$G:$G)</f>
        <v>0</v>
      </c>
      <c r="L58" s="3">
        <f ca="1">SUMIF(Eventos!$D:$D,Balance!L16,Eventos!$G:$G)</f>
        <v>0</v>
      </c>
      <c r="M58" s="3">
        <f ca="1">SUMIF(Eventos!$D:$D,Balance!M16,Eventos!$G:$G)</f>
        <v>0</v>
      </c>
      <c r="N58" s="3">
        <f ca="1">SUMIF(Eventos!$D:$D,Balance!N16,Eventos!$G:$G)</f>
        <v>0</v>
      </c>
      <c r="O58" s="3">
        <f ca="1">SUMIF(Eventos!$D:$D,Balance!O16,Eventos!$G:$G)</f>
        <v>0</v>
      </c>
      <c r="P58" s="3">
        <f ca="1">SUMIF(Eventos!$D:$D,Balance!P16,Eventos!$G:$G)</f>
        <v>0</v>
      </c>
      <c r="Q58" s="3">
        <f ca="1">SUMIF(Eventos!$D:$D,Balance!Q16,Eventos!$G:$G)</f>
        <v>0</v>
      </c>
      <c r="R58" s="3">
        <f ca="1">SUMIF(Eventos!$D:$D,Balance!R16,Eventos!$G:$G)</f>
        <v>0</v>
      </c>
      <c r="S58" s="3">
        <f ca="1">SUMIF(Eventos!$D:$D,Balance!S16,Eventos!$G:$G)</f>
        <v>0</v>
      </c>
      <c r="T58" s="3">
        <f ca="1">SUMIF(Eventos!$D:$D,Balance!T16,Eventos!$G:$G)</f>
        <v>0</v>
      </c>
      <c r="U58" s="3">
        <f ca="1">SUMIF(Eventos!$D:$D,Balance!U16,Eventos!$G:$G)</f>
        <v>0</v>
      </c>
      <c r="V58" s="3">
        <f ca="1">SUMIF(Eventos!$D:$D,Balance!V16,Eventos!$G:$G)</f>
        <v>0</v>
      </c>
      <c r="W58" s="3">
        <f ca="1">SUMIF(Eventos!$D:$D,Balance!W16,Eventos!$G:$G)</f>
        <v>0</v>
      </c>
      <c r="X58" s="3">
        <f ca="1">SUMIF(Eventos!$D:$D,Balance!X16,Eventos!$G:$G)</f>
        <v>0</v>
      </c>
      <c r="Y58" s="3">
        <f ca="1">SUMIF(Eventos!$D:$D,Balance!Y16,Eventos!$G:$G)</f>
        <v>0</v>
      </c>
      <c r="Z58" s="3">
        <f ca="1">SUMIF(Eventos!$D:$D,Balance!Z16,Eventos!$G:$G)</f>
        <v>0</v>
      </c>
      <c r="AA58" s="3">
        <f ca="1">SUMIF(Eventos!$D:$D,Balance!AA16,Eventos!$G:$G)</f>
        <v>0</v>
      </c>
      <c r="AB58" s="3">
        <f ca="1">SUMIF(Eventos!$D:$D,Balance!AB16,Eventos!$G:$G)</f>
        <v>0</v>
      </c>
      <c r="AC58" s="3">
        <f ca="1">SUMIF(Eventos!$D:$D,Balance!AC16,Eventos!$G:$G)</f>
        <v>0</v>
      </c>
      <c r="AD58" s="3">
        <f ca="1">SUMIF(Eventos!$D:$D,Balance!AD16,Eventos!$G:$G)</f>
        <v>0</v>
      </c>
      <c r="AE58" s="3">
        <f ca="1">SUMIF(Eventos!$D:$D,Balance!AE16,Eventos!$G:$G)</f>
        <v>0</v>
      </c>
      <c r="AF58" s="3">
        <f ca="1">SUMIF(Eventos!$D:$D,Balance!AF16,Eventos!$G:$G)</f>
        <v>0</v>
      </c>
      <c r="AG58" s="3">
        <f ca="1">SUMIF(Eventos!$D:$D,Balance!AG16,Eventos!$G:$G)</f>
        <v>0</v>
      </c>
      <c r="AH58" s="3">
        <f ca="1">SUMIF(Eventos!$D:$D,Balance!AH16,Eventos!$G:$G)</f>
        <v>0</v>
      </c>
      <c r="AI58" s="3">
        <f ca="1">SUMIF(Eventos!$D:$D,Balance!AI16,Eventos!$G:$G)</f>
        <v>0</v>
      </c>
      <c r="AJ58" s="3">
        <f ca="1">SUMIF(Eventos!$D:$D,Balance!AJ16,Eventos!$G:$G)</f>
        <v>0</v>
      </c>
      <c r="AK58" s="3">
        <f ca="1">SUMIF(Eventos!$D:$D,Balance!AK16,Eventos!$G:$G)</f>
        <v>0</v>
      </c>
      <c r="AL58" s="3">
        <f ca="1">SUMIF(Eventos!$D:$D,Balance!AL16,Eventos!$G:$G)</f>
        <v>0</v>
      </c>
      <c r="AM58" s="3">
        <f ca="1">SUMIF(Eventos!$D:$D,Balance!AM16,Eventos!$G:$G)</f>
        <v>0</v>
      </c>
      <c r="AN58" s="3">
        <f ca="1">SUMIF(Eventos!$D:$D,Balance!AN16,Eventos!$G:$G)</f>
        <v>0</v>
      </c>
      <c r="AO58" s="3">
        <f ca="1">SUMIF(Eventos!$D:$D,Balance!AO16,Eventos!$G:$G)</f>
        <v>0</v>
      </c>
      <c r="AP58" s="3">
        <f ca="1">SUMIF(Eventos!$D:$D,Balance!AP16,Eventos!$G:$G)</f>
        <v>0</v>
      </c>
      <c r="AQ58" s="3">
        <f ca="1">SUMIF(Eventos!$D:$D,Balance!AQ16,Eventos!$G:$G)</f>
        <v>0</v>
      </c>
      <c r="AR58" s="3">
        <f ca="1">SUMIF(Eventos!$D:$D,Balance!AR16,Eventos!$G:$G)</f>
        <v>0</v>
      </c>
      <c r="AS58" s="3">
        <f ca="1">SUMIF(Eventos!$D:$D,Balance!AS16,Eventos!$G:$G)</f>
        <v>0</v>
      </c>
      <c r="AT58" s="3">
        <f ca="1">SUMIF(Eventos!$D:$D,Balance!AT16,Eventos!$G:$G)</f>
        <v>0</v>
      </c>
      <c r="AU58" s="3">
        <f ca="1">SUMIF(Eventos!$D:$D,Balance!AU16,Eventos!$G:$G)</f>
        <v>0</v>
      </c>
      <c r="AV58" s="3">
        <f ca="1">SUMIF(Eventos!$D:$D,Balance!AV16,Eventos!$G:$G)</f>
        <v>0</v>
      </c>
      <c r="AW58" s="3">
        <f ca="1">SUMIF(Eventos!$D:$D,Balance!AW16,Eventos!$G:$G)</f>
        <v>0</v>
      </c>
      <c r="AX58" s="3">
        <f ca="1">SUMIF(Eventos!$D:$D,Balance!AX16,Eventos!$G:$G)</f>
        <v>0</v>
      </c>
      <c r="AY58" s="3">
        <f ca="1">SUMIF(Eventos!$D:$D,Balance!AY16,Eventos!$G:$G)</f>
        <v>0</v>
      </c>
      <c r="AZ58" s="3">
        <f ca="1">SUMIF(Eventos!$D:$D,Balance!AZ16,Eventos!$G:$G)</f>
        <v>0</v>
      </c>
      <c r="BA58" s="3">
        <f ca="1">SUMIF(Eventos!$D:$D,Balance!BA16,Eventos!$G:$G)</f>
        <v>0</v>
      </c>
      <c r="BB58" s="3">
        <f ca="1">SUMIF(Eventos!$D:$D,Balance!BB16,Eventos!$G:$G)</f>
        <v>0</v>
      </c>
      <c r="BC58" s="3">
        <f ca="1">SUMIF(Eventos!$D:$D,Balance!BC16,Eventos!$G:$G)</f>
        <v>0</v>
      </c>
      <c r="BD58" s="3">
        <f ca="1">SUMIF(Eventos!$D:$D,Balance!BD16,Eventos!$G:$G)</f>
        <v>0</v>
      </c>
      <c r="BE58" s="3">
        <f ca="1">SUMIF(Eventos!$D:$D,Balance!BE16,Eventos!$G:$G)</f>
        <v>0</v>
      </c>
      <c r="BF58" s="3">
        <f ca="1">SUMIF(Eventos!$D:$D,Balance!BF16,Eventos!$G:$G)</f>
        <v>0</v>
      </c>
      <c r="BG58" s="3">
        <f ca="1">SUMIF(Eventos!$D:$D,Balance!BG16,Eventos!$G:$G)</f>
        <v>0</v>
      </c>
      <c r="BH58" s="3">
        <f ca="1">SUMIF(Eventos!$D:$D,Balance!BH16,Eventos!$G:$G)</f>
        <v>0</v>
      </c>
      <c r="BI58" s="3">
        <f ca="1">SUMIF(Eventos!$D:$D,Balance!BI16,Eventos!$G:$G)</f>
        <v>0</v>
      </c>
      <c r="BJ58" s="3">
        <f ca="1">SUMIF(Eventos!$D:$D,Balance!BJ16,Eventos!$G:$G)</f>
        <v>0</v>
      </c>
    </row>
    <row r="59" spans="1:62" ht="10.5" customHeight="1" x14ac:dyDescent="0.25">
      <c r="A59" s="54"/>
      <c r="E59" s="91"/>
      <c r="F59" s="3"/>
      <c r="G59" s="3"/>
      <c r="H59" s="3"/>
      <c r="I59" s="3"/>
      <c r="J59" s="12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</row>
    <row r="60" spans="1:62" x14ac:dyDescent="0.25">
      <c r="A60" s="54"/>
      <c r="D60" s="96" t="s">
        <v>6</v>
      </c>
      <c r="E60" s="97"/>
      <c r="F60" s="98">
        <f ca="1">F43-SUM(F23,F35,IF(F1&gt;'Misselaneos '!$H$1,MAX(F44,SUM(F45:F51)),Balance!F44),)-MAX(F54:F55)-MAX(F57:F58)</f>
        <v>500</v>
      </c>
      <c r="G60" s="98">
        <f ca="1">G43-SUM(G23,G35,IF(G1&gt;'Misselaneos '!$H$1,MAX(G44,SUM(G45:G51)),Balance!G44),)-MAX(G54:G55)-MAX(G57:G58)</f>
        <v>-400</v>
      </c>
      <c r="H60" s="98">
        <f ca="1">H43-SUM(H23,H35,IF(H1&gt;'Misselaneos '!$H$1,MAX(H44,SUM(H45:H51)),Balance!H44),)-MAX(H54:H55)-MAX(H57:H58)</f>
        <v>500</v>
      </c>
      <c r="I60" s="98">
        <f ca="1">I43-SUM(I23,I35,IF(I1&gt;'Misselaneos '!$H$1,MAX(I44,SUM(I45:I51))))-MAX(I54:I55)-MAX(I57:I58)</f>
        <v>5500</v>
      </c>
      <c r="J60" s="133">
        <f ca="1">J43-SUM(J23,J35,IF(J1&gt;'Misselaneos '!$H$1,MAX(J44,SUM(J45:J51))))-MAX(J54:J55)-MAX(J57:J58)</f>
        <v>3100</v>
      </c>
      <c r="K60" s="98">
        <f ca="1">K43-SUM(K23,K35,IF(K1&gt;'Misselaneos '!$H$1,MAX(K44,SUM(K45:K51))))-MAX(K54:K55)-MAX(K57:K58)</f>
        <v>5500</v>
      </c>
      <c r="L60" s="98">
        <f ca="1">L43-SUM(L23,L35,IF(L1&gt;'Misselaneos '!$H$1,MAX(L44,SUM(L45:L51))))-MAX(L54:L55)-MAX(L57:L58)</f>
        <v>5500</v>
      </c>
      <c r="M60" s="98">
        <f ca="1">M43-SUM(M23,M35,IF(M1&gt;'Misselaneos '!$H$1,MAX(M44,SUM(M45:M51))))-MAX(M54:M55)-MAX(M57:M58)</f>
        <v>5500</v>
      </c>
      <c r="N60" s="98">
        <f ca="1">N43-SUM(N23,N35,IF(N1&gt;'Misselaneos '!$H$1,MAX(N44,SUM(N45:N51))))-MAX(N54:N55)-MAX(N57:N58)</f>
        <v>3085</v>
      </c>
      <c r="O60" s="98">
        <f ca="1">O43-SUM(O23,O35,IF(O1&gt;'Misselaneos '!$H$1,MAX(O44,SUM(O45:O51))))-MAX(O54:O55)-MAX(O57:O58)</f>
        <v>5500</v>
      </c>
      <c r="P60" s="98">
        <f ca="1">P43-SUM(P23,P35,IF(P1&gt;'Misselaneos '!$H$1,MAX(P44,SUM(P45:P51)),Balance!P44),)-MAX(P54:P55)-MAX(P57:P58)</f>
        <v>5500</v>
      </c>
      <c r="Q60" s="98">
        <f ca="1">Q43-SUM(Q23,Q35,IF(Q1&gt;'Misselaneos '!$H$1,MAX(Q44,SUM(Q45:Q51)),Balance!Q44),)-MAX(Q54:Q55)-MAX(Q57:Q58)</f>
        <v>5500</v>
      </c>
      <c r="R60" s="98">
        <f ca="1">R43-SUM(R23,R35,IF(R1&gt;'Misselaneos '!$H$1,MAX(R44,SUM(R45:R51)),Balance!R44),)-MAX(R54:R55)-MAX(R57:R58)</f>
        <v>5500</v>
      </c>
      <c r="S60" s="98">
        <f ca="1">S43-SUM(S23,S35,IF(S1&gt;'Misselaneos '!$H$1,MAX(S44,SUM(S45:S51)),Balance!S44),)-MAX(S54:S55)-MAX(S57:S58)</f>
        <v>3085</v>
      </c>
      <c r="T60" s="98">
        <f ca="1">T43-SUM(T23,T35,IF(T1&gt;'Misselaneos '!$H$1,MAX(T44,SUM(T45:T51)),Balance!T44),)-MAX(T54:T55)-MAX(T57:T58)</f>
        <v>3500</v>
      </c>
      <c r="U60" s="98">
        <f ca="1">U43-SUM(U23,U35,IF(U1&gt;'Misselaneos '!$H$1,MAX(U44,SUM(U45:U51)),Balance!U44),)-MAX(U54:U55)-MAX(U57:U58)</f>
        <v>5500</v>
      </c>
      <c r="V60" s="98">
        <f ca="1">V43-SUM(V23,V35,IF(V1&gt;'Misselaneos '!$H$1,MAX(V44,SUM(V45:V51)),Balance!V44),)-MAX(V54:V55)-MAX(V57:V58)</f>
        <v>-1500</v>
      </c>
      <c r="W60" s="98">
        <f ca="1">W43-SUM(W23,W35,IF(W1&gt;'Misselaneos '!$H$1,MAX(W44,SUM(W45:W51)),Balance!W44),)-MAX(W54:W55)-MAX(W57:W58)</f>
        <v>-3915</v>
      </c>
      <c r="X60" s="98">
        <f ca="1">X43-SUM(X23,X35,IF(X1&gt;'Misselaneos '!$H$1,MAX(X44,SUM(X45:X51)),Balance!X44),)-MAX(X54:X55)-MAX(X57:X58)</f>
        <v>5500</v>
      </c>
      <c r="Y60" s="98">
        <f ca="1">Y43-SUM(Y23,Y35,IF(Y1&gt;'Misselaneos '!$H$1,MAX(Y44,SUM(Y45:Y51)),Balance!Y44),)-MAX(Y54:Y55)-MAX(Y57:Y58)</f>
        <v>5500</v>
      </c>
      <c r="Z60" s="98">
        <f ca="1">Z43-SUM(Z23,Z35,IF(Z1&gt;'Misselaneos '!$H$1,MAX(Z44,SUM(Z45:Z51)),Balance!Z44),)-MAX(Z54:Z55)-MAX(Z57:Z58)</f>
        <v>5500</v>
      </c>
      <c r="AA60" s="98">
        <f ca="1">AA43-SUM(AA23,AA35,IF(AA1&gt;'Misselaneos '!$H$1,MAX(AA44,SUM(AA45:AA51)),Balance!AA44),)-MAX(AA54:AA55)-MAX(AA57:AA58)</f>
        <v>5500</v>
      </c>
      <c r="AB60" s="98">
        <f ca="1">AB43-SUM(AB23,AB35,IF(AB1&gt;'Misselaneos '!$H$1,MAX(AB44,SUM(AB45:AB51)),Balance!AB44),)-MAX(AB54:AB55)-MAX(AB57:AB58)</f>
        <v>6500</v>
      </c>
      <c r="AC60" s="98">
        <f ca="1">AC43-SUM(AC23,AC35,IF(AC1&gt;'Misselaneos '!$H$1,MAX(AC44,SUM(AC45:AC51)),Balance!AC44),)-MAX(AC54:AC55)-MAX(AC57:AC58)</f>
        <v>6500</v>
      </c>
      <c r="AD60" s="98">
        <f ca="1">AD43-SUM(AD23,AD35,IF(AD1&gt;'Misselaneos '!$H$1,MAX(AD44,SUM(AD45:AD51)),Balance!AD44),)-MAX(AD54:AD55)-MAX(AD57:AD58)</f>
        <v>6500</v>
      </c>
      <c r="AE60" s="98">
        <f ca="1">AE43-SUM(AE23,AE35,IF(AE1&gt;'Misselaneos '!$H$1,MAX(AE44,SUM(AE45:AE51)),Balance!AE44),)-MAX(AE54:AE55)-MAX(AE57:AE58)</f>
        <v>6500</v>
      </c>
      <c r="AF60" s="98">
        <f ca="1">AF43-SUM(AF23,AF35,IF(AF1&gt;'Misselaneos '!$H$1,MAX(AF44,SUM(AF45:AF51)),Balance!AF44),)-MAX(AF54:AF55)-MAX(AF57:AF58)</f>
        <v>6500</v>
      </c>
      <c r="AG60" s="98">
        <f ca="1">AG43-SUM(AG23,AG35,IF(AG1&gt;'Misselaneos '!$H$1,MAX(AG44,SUM(AG45:AG51)),Balance!AG44),)-MAX(AG54:AG55)-MAX(AG57:AG58)</f>
        <v>6500</v>
      </c>
      <c r="AH60" s="98">
        <f ca="1">AH43-SUM(AH23,AH35,IF(AH1&gt;'Misselaneos '!$H$1,MAX(AH44,SUM(AH45:AH51)),Balance!AH44),)-MAX(AH54:AH55)-MAX(AH57:AH58)</f>
        <v>6500</v>
      </c>
      <c r="AI60" s="98">
        <f ca="1">AI43-SUM(AI23,AI35,IF(AI1&gt;'Misselaneos '!$H$1,MAX(AI44,SUM(AI45:AI51)),Balance!AI44),)-MAX(AI54:AI55)-MAX(AI57:AI58)</f>
        <v>6500</v>
      </c>
      <c r="AJ60" s="98">
        <f ca="1">AJ43-SUM(AJ23,AJ35,IF(AJ1&gt;'Misselaneos '!$H$1,MAX(AJ44,SUM(AJ45:AJ51)),Balance!AJ44),)-MAX(AJ54:AJ55)-MAX(AJ57:AJ58)</f>
        <v>7000</v>
      </c>
      <c r="AK60" s="98">
        <f ca="1">AK43-SUM(AK23,AK35,IF(AK1&gt;'Misselaneos '!$H$1,MAX(AK44,SUM(AK45:AK51)),Balance!AK44),)-MAX(AK54:AK55)-MAX(AK57:AK58)</f>
        <v>7000</v>
      </c>
      <c r="AL60" s="98">
        <f ca="1">AL43-SUM(AL23,AL35,IF(AL1&gt;'Misselaneos '!$H$1,MAX(AL44,SUM(AL45:AL51)),Balance!AL44),)-MAX(AL54:AL55)-MAX(AL57:AL58)</f>
        <v>7000</v>
      </c>
      <c r="AM60" s="98">
        <f ca="1">AM43-SUM(AM23,AM35,IF(AM1&gt;'Misselaneos '!$H$1,MAX(AM44,SUM(AM45:AM51)),Balance!AM44),)-MAX(AM54:AM55)-MAX(AM57:AM58)</f>
        <v>7000</v>
      </c>
      <c r="AN60" s="98">
        <f ca="1">AN43-SUM(AN23,AN35,IF(AN1&gt;'Misselaneos '!$H$1,MAX(AN44,SUM(AN45:AN51)),Balance!AN44),)-MAX(AN54:AN55)-MAX(AN57:AN58)</f>
        <v>7000</v>
      </c>
      <c r="AO60" s="98">
        <f ca="1">AO43-SUM(AO23,AO35,IF(AO1&gt;'Misselaneos '!$H$1,MAX(AO44,SUM(AO45:AO51)),Balance!AO44),)-MAX(AO54:AO55)-MAX(AO57:AO58)</f>
        <v>7000</v>
      </c>
      <c r="AP60" s="98">
        <f ca="1">AP43-SUM(AP23,AP35,IF(AP1&gt;'Misselaneos '!$H$1,MAX(AP44,SUM(AP45:AP51)),Balance!AP44),)-MAX(AP54:AP55)-MAX(AP57:AP58)</f>
        <v>7000</v>
      </c>
      <c r="AQ60" s="98">
        <f ca="1">AQ43-SUM(AQ23,AQ35,IF(AQ1&gt;'Misselaneos '!$H$1,MAX(AQ44,SUM(AQ45:AQ51)),Balance!AQ44),)-MAX(AQ54:AQ55)-MAX(AQ57:AQ58)</f>
        <v>7000</v>
      </c>
      <c r="AR60" s="98">
        <f ca="1">AR43-SUM(AR23,AR35,IF(AR1&gt;'Misselaneos '!$H$1,MAX(AR44,SUM(AR45:AR51)),Balance!AR44),)-MAX(AR54:AR55)-MAX(AR57:AR58)</f>
        <v>7000</v>
      </c>
      <c r="AS60" s="98">
        <f ca="1">AS43-SUM(AS23,AS35,IF(AS1&gt;'Misselaneos '!$H$1,MAX(AS44,SUM(AS45:AS51)),Balance!AS44),)-MAX(AS54:AS55)-MAX(AS57:AS58)</f>
        <v>7000</v>
      </c>
      <c r="AT60" s="98">
        <f ca="1">AT43-SUM(AT23,AT35,IF(AT1&gt;'Misselaneos '!$H$1,MAX(AT44,SUM(AT45:AT51)),Balance!AT44),)-MAX(AT54:AT55)-MAX(AT57:AT58)</f>
        <v>7000</v>
      </c>
      <c r="AU60" s="98">
        <f ca="1">AU43-SUM(AU23,AU35,IF(AU1&gt;'Misselaneos '!$H$1,MAX(AU44,SUM(AU45:AU51)),Balance!AU44),)-MAX(AU54:AU55)-MAX(AU57:AU58)</f>
        <v>7000</v>
      </c>
      <c r="AV60" s="98">
        <f ca="1">AV43-SUM(AV23,AV35,IF(AV1&gt;'Misselaneos '!$H$1,MAX(AV44,SUM(AV45:AV51)),Balance!AV44),)-MAX(AV54:AV55)-MAX(AV57:AV58)</f>
        <v>7000</v>
      </c>
      <c r="AW60" s="98">
        <f ca="1">AW43-SUM(AW23,AW35,IF(AW1&gt;'Misselaneos '!$H$1,MAX(AW44,SUM(AW45:AW51)),Balance!AW44),)-MAX(AW54:AW55)-MAX(AW57:AW58)</f>
        <v>7000</v>
      </c>
      <c r="AX60" s="98">
        <f ca="1">AX43-SUM(AX23,AX35,IF(AX1&gt;'Misselaneos '!$H$1,MAX(AX44,SUM(AX45:AX51)),Balance!AX44),)-MAX(AX54:AX55)-MAX(AX57:AX58)</f>
        <v>7000</v>
      </c>
      <c r="AY60" s="98">
        <f ca="1">AY43-SUM(AY23,AY35,IF(AY1&gt;'Misselaneos '!$H$1,MAX(AY44,SUM(AY45:AY51)),Balance!AY44),)-MAX(AY54:AY55)-MAX(AY57:AY58)</f>
        <v>7000</v>
      </c>
      <c r="AZ60" s="98">
        <f ca="1">AZ43-SUM(AZ23,AZ35,IF(AZ1&gt;'Misselaneos '!$H$1,MAX(AZ44,SUM(AZ45:AZ51)),Balance!AZ44),)-MAX(AZ54:AZ55)-MAX(AZ57:AZ58)</f>
        <v>7000</v>
      </c>
      <c r="BA60" s="98">
        <f ca="1">BA43-SUM(BA23,BA35,IF(BA1&gt;'Misselaneos '!$H$1,MAX(BA44,SUM(BA45:BA51)),Balance!BA44),)-MAX(BA54:BA55)-MAX(BA57:BA58)</f>
        <v>7000</v>
      </c>
      <c r="BB60" s="98">
        <f ca="1">BB43-SUM(BB23,BB35,IF(BB1&gt;'Misselaneos '!$H$1,MAX(BB44,SUM(BB45:BB51)),Balance!BB44),)-MAX(BB54:BB55)-MAX(BB57:BB58)</f>
        <v>7000</v>
      </c>
      <c r="BC60" s="98">
        <f ca="1">BC43-SUM(BC23,BC35,IF(BC1&gt;'Misselaneos '!$H$1,MAX(BC44,SUM(BC45:BC51)),Balance!BC44),)-MAX(BC54:BC55)-MAX(BC57:BC58)</f>
        <v>0</v>
      </c>
      <c r="BD60" s="98">
        <f ca="1">BD43-SUM(BD23,BD35,IF(BD1&gt;'Misselaneos '!$H$1,MAX(BD44,SUM(BD45:BD51)),Balance!BD44),)-MAX(BD54:BD55)-MAX(BD57:BD58)</f>
        <v>7000</v>
      </c>
      <c r="BE60" s="98">
        <f ca="1">BE43-SUM(BE23,BE35,IF(BE1&gt;'Misselaneos '!$H$1,MAX(BE44,SUM(BE45:BE51)),Balance!BE44),)-MAX(BE54:BE55)-MAX(BE57:BE58)</f>
        <v>7000</v>
      </c>
      <c r="BF60" s="98">
        <f ca="1">BF43-SUM(BF23,BF35,IF(BF1&gt;'Misselaneos '!$H$1,MAX(BF44,SUM(BF45:BF51)),Balance!BF44),)-MAX(BF54:BF55)-MAX(BF57:BF58)</f>
        <v>6500</v>
      </c>
      <c r="BG60" s="98">
        <f ca="1">BG43-SUM(BG23,BG35,IF(BG1&gt;'Misselaneos '!$H$1,MAX(BG44,SUM(BG45:BG51)),Balance!BG44),)-MAX(BG54:BG55)-MAX(BG57:BG58)</f>
        <v>7000</v>
      </c>
      <c r="BH60" s="98">
        <f ca="1">BH43-SUM(BH23,BH35,IF(BH1&gt;'Misselaneos '!$H$1,MAX(BH44,SUM(BH45:BH51)),Balance!BH44),)-MAX(BH54:BH55)-MAX(BH57:BH58)</f>
        <v>7000</v>
      </c>
      <c r="BI60" s="98">
        <f ca="1">BI43-SUM(BI23,BI35,IF(BI1&gt;'Misselaneos '!$H$1,MAX(BI44,SUM(BI45:BI51)),Balance!BI44),)-MAX(BI54:BI55)-MAX(BI57:BI58)</f>
        <v>7000</v>
      </c>
      <c r="BJ60" s="98">
        <f ca="1">BJ43-SUM(BJ23,BJ35,IF(BJ1&gt;'Misselaneos '!$H$1,MAX(BJ44,SUM(BJ45:BJ51)),Balance!BJ44),)-MAX(BJ54:BJ55)-MAX(BJ57:BJ58)</f>
        <v>7000</v>
      </c>
    </row>
    <row r="61" spans="1:62" x14ac:dyDescent="0.25">
      <c r="A61" s="54"/>
      <c r="D61" s="96" t="s">
        <v>7</v>
      </c>
      <c r="E61" s="97"/>
      <c r="F61" s="98">
        <f ca="1">SUM($F$60:F60)</f>
        <v>500</v>
      </c>
      <c r="G61" s="98">
        <f ca="1">SUM($F$60:G60)</f>
        <v>100</v>
      </c>
      <c r="H61" s="98">
        <f ca="1">SUM($F$60:H60)</f>
        <v>600</v>
      </c>
      <c r="I61" s="98">
        <f ca="1">SUM($F$60:I60)</f>
        <v>6100</v>
      </c>
      <c r="J61" s="133">
        <f ca="1">SUM($F$60:J60)</f>
        <v>9200</v>
      </c>
      <c r="K61" s="98">
        <f ca="1">SUM($F$60:K60)</f>
        <v>14700</v>
      </c>
      <c r="L61" s="98">
        <f ca="1">SUM($F$60:L60)</f>
        <v>20200</v>
      </c>
      <c r="M61" s="98">
        <f ca="1">SUM($F$60:M60)</f>
        <v>25700</v>
      </c>
      <c r="N61" s="98">
        <f ca="1">SUM($F$60:N60)</f>
        <v>28785</v>
      </c>
      <c r="O61" s="98">
        <f ca="1">SUM($F$60:O60)</f>
        <v>34285</v>
      </c>
      <c r="P61" s="98">
        <f ca="1">SUM($F$60:P60)</f>
        <v>39785</v>
      </c>
      <c r="Q61" s="98">
        <f ca="1">SUM($F$60:Q60)</f>
        <v>45285</v>
      </c>
      <c r="R61" s="98">
        <f ca="1">SUM($F$60:R60)</f>
        <v>50785</v>
      </c>
      <c r="S61" s="98">
        <f ca="1">SUM($F$60:S60)</f>
        <v>53870</v>
      </c>
      <c r="T61" s="98">
        <f ca="1">SUM($F$60:T60)</f>
        <v>57370</v>
      </c>
      <c r="U61" s="98">
        <f ca="1">SUM($F$60:U60)</f>
        <v>62870</v>
      </c>
      <c r="V61" s="98">
        <f ca="1">SUM($F$60:V60)</f>
        <v>61370</v>
      </c>
      <c r="W61" s="98">
        <f ca="1">SUM($F$60:W60)</f>
        <v>57455</v>
      </c>
      <c r="X61" s="98">
        <f ca="1">SUM($F$60:X60)</f>
        <v>62955</v>
      </c>
      <c r="Y61" s="98">
        <f ca="1">SUM($F$60:Y60)</f>
        <v>68455</v>
      </c>
      <c r="Z61" s="98">
        <f ca="1">SUM($F$60:Z60)</f>
        <v>73955</v>
      </c>
      <c r="AA61" s="98">
        <f ca="1">SUM($F$60:AA60)</f>
        <v>79455</v>
      </c>
      <c r="AB61" s="98">
        <f ca="1">SUM($F$60:AB60)</f>
        <v>85955</v>
      </c>
      <c r="AC61" s="98">
        <f ca="1">SUM($F$60:AC60)</f>
        <v>92455</v>
      </c>
      <c r="AD61" s="98">
        <f ca="1">SUM($F$60:AD60)</f>
        <v>98955</v>
      </c>
      <c r="AE61" s="98">
        <f ca="1">SUM($F$60:AE60)</f>
        <v>105455</v>
      </c>
      <c r="AF61" s="98">
        <f ca="1">SUM($F$60:AF60)</f>
        <v>111955</v>
      </c>
      <c r="AG61" s="98">
        <f ca="1">SUM($F$60:AG60)</f>
        <v>118455</v>
      </c>
      <c r="AH61" s="98">
        <f ca="1">SUM($F$60:AH60)</f>
        <v>124955</v>
      </c>
      <c r="AI61" s="98">
        <f ca="1">SUM($F$60:AI60)</f>
        <v>131455</v>
      </c>
      <c r="AJ61" s="98">
        <f ca="1">SUM($F$60:AJ60)</f>
        <v>138455</v>
      </c>
      <c r="AK61" s="98">
        <f ca="1">SUM($F$60:AK60)</f>
        <v>145455</v>
      </c>
      <c r="AL61" s="98">
        <f ca="1">SUM($F$60:AL60)</f>
        <v>152455</v>
      </c>
      <c r="AM61" s="98">
        <f ca="1">SUM($F$60:AM60)</f>
        <v>159455</v>
      </c>
      <c r="AN61" s="98">
        <f ca="1">SUM($F$60:AN60)</f>
        <v>166455</v>
      </c>
      <c r="AO61" s="98">
        <f ca="1">SUM($F$60:AO60)</f>
        <v>173455</v>
      </c>
      <c r="AP61" s="98">
        <f ca="1">SUM($F$60:AP60)</f>
        <v>180455</v>
      </c>
      <c r="AQ61" s="98">
        <f ca="1">SUM($F$60:AQ60)</f>
        <v>187455</v>
      </c>
      <c r="AR61" s="98">
        <f ca="1">SUM($F$60:AR60)</f>
        <v>194455</v>
      </c>
      <c r="AS61" s="98">
        <f ca="1">SUM($F$60:AS60)</f>
        <v>201455</v>
      </c>
      <c r="AT61" s="98">
        <f ca="1">SUM($F$60:AT60)</f>
        <v>208455</v>
      </c>
      <c r="AU61" s="98">
        <f ca="1">SUM($F$60:AU60)</f>
        <v>215455</v>
      </c>
      <c r="AV61" s="98">
        <f ca="1">SUM($F$60:AV60)</f>
        <v>222455</v>
      </c>
      <c r="AW61" s="98">
        <f ca="1">SUM($F$60:AW60)</f>
        <v>229455</v>
      </c>
      <c r="AX61" s="98">
        <f ca="1">SUM($F$60:AX60)</f>
        <v>236455</v>
      </c>
      <c r="AY61" s="98">
        <f ca="1">SUM($F$60:AY60)</f>
        <v>243455</v>
      </c>
      <c r="AZ61" s="98">
        <f ca="1">SUM($F$60:AZ60)</f>
        <v>250455</v>
      </c>
      <c r="BA61" s="98">
        <f ca="1">SUM($F$60:BA60)</f>
        <v>257455</v>
      </c>
      <c r="BB61" s="98">
        <f ca="1">SUM($F$60:BB60)</f>
        <v>264455</v>
      </c>
      <c r="BC61" s="98">
        <f ca="1">SUM($F$60:BC60)</f>
        <v>264455</v>
      </c>
      <c r="BD61" s="98">
        <f ca="1">SUM($F$60:BD60)</f>
        <v>271455</v>
      </c>
      <c r="BE61" s="98">
        <f ca="1">SUM($F$60:BE60)</f>
        <v>278455</v>
      </c>
      <c r="BF61" s="98">
        <f ca="1">SUM($F$60:BF60)</f>
        <v>284955</v>
      </c>
      <c r="BG61" s="98">
        <f ca="1">SUM($F$60:BG60)</f>
        <v>291955</v>
      </c>
      <c r="BH61" s="98">
        <f ca="1">SUM($F$60:BH60)</f>
        <v>298955</v>
      </c>
      <c r="BI61" s="98">
        <f ca="1">SUM($F$60:BI60)</f>
        <v>305955</v>
      </c>
      <c r="BJ61" s="98">
        <f ca="1">SUM($F$60:BJ60)</f>
        <v>312955</v>
      </c>
    </row>
    <row r="62" spans="1:62" x14ac:dyDescent="0.25">
      <c r="E62" s="30"/>
      <c r="F62" s="95"/>
      <c r="G62" s="1"/>
      <c r="H62" s="1"/>
      <c r="I62" s="1"/>
      <c r="J62" s="13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62" x14ac:dyDescent="0.25">
      <c r="E63" s="100"/>
      <c r="F63" s="95"/>
      <c r="G63" s="95"/>
      <c r="H63" s="95"/>
      <c r="I63" s="1"/>
      <c r="J63" s="13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62" x14ac:dyDescent="0.25">
      <c r="E64" s="30"/>
      <c r="F64" s="95"/>
      <c r="G64" s="95"/>
      <c r="H64" s="95"/>
      <c r="I64" s="95"/>
      <c r="J64" s="13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5:27" x14ac:dyDescent="0.25">
      <c r="E65" s="30"/>
      <c r="F65" s="101"/>
      <c r="G65" s="101"/>
      <c r="H65" s="101"/>
      <c r="I65" s="101"/>
      <c r="J65" s="135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</row>
    <row r="66" spans="5:27" x14ac:dyDescent="0.25">
      <c r="E66" s="30"/>
      <c r="F66" s="101"/>
      <c r="G66" s="101"/>
      <c r="H66" s="101"/>
      <c r="I66" s="101"/>
      <c r="J66" s="135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</row>
    <row r="67" spans="5:27" x14ac:dyDescent="0.25">
      <c r="E67" s="30"/>
      <c r="F67" s="101"/>
      <c r="G67" s="101"/>
      <c r="H67" s="101"/>
      <c r="I67" s="101"/>
      <c r="J67" s="135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</row>
    <row r="68" spans="5:27" x14ac:dyDescent="0.25">
      <c r="E68" s="30"/>
      <c r="F68" s="101"/>
      <c r="G68" s="101"/>
      <c r="H68" s="101"/>
      <c r="I68" s="101"/>
      <c r="J68" s="135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</row>
    <row r="69" spans="5:27" x14ac:dyDescent="0.25">
      <c r="E69" s="30"/>
      <c r="F69" s="101"/>
      <c r="G69" s="101"/>
      <c r="H69" s="101"/>
      <c r="I69" s="101"/>
      <c r="J69" s="135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</row>
    <row r="70" spans="5:27" x14ac:dyDescent="0.25">
      <c r="E70" s="30"/>
      <c r="F70" s="1"/>
      <c r="G70" s="1"/>
      <c r="H70" s="1"/>
      <c r="I70" s="1"/>
      <c r="J70" s="13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5:27" x14ac:dyDescent="0.25">
      <c r="E71" s="30"/>
      <c r="F71" s="101"/>
      <c r="G71" s="101"/>
      <c r="H71" s="101"/>
      <c r="I71" s="101"/>
      <c r="J71" s="135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</row>
    <row r="72" spans="5:27" x14ac:dyDescent="0.25">
      <c r="E72" s="30"/>
      <c r="F72" s="101"/>
      <c r="G72" s="101"/>
      <c r="H72" s="101"/>
      <c r="I72" s="101"/>
      <c r="J72" s="135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</row>
    <row r="73" spans="5:27" x14ac:dyDescent="0.25">
      <c r="E73" s="30"/>
      <c r="F73" s="1"/>
      <c r="G73" s="1"/>
      <c r="H73" s="1"/>
      <c r="I73" s="1"/>
      <c r="J73" s="13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5:27" x14ac:dyDescent="0.25">
      <c r="E74" s="30"/>
      <c r="F74" s="1"/>
      <c r="G74" s="1"/>
      <c r="H74" s="1"/>
      <c r="I74" s="1"/>
      <c r="J74" s="13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5:27" x14ac:dyDescent="0.25">
      <c r="E75" s="30"/>
      <c r="F75" s="1"/>
      <c r="G75" s="1"/>
      <c r="H75" s="1"/>
      <c r="I75" s="1"/>
      <c r="J75" s="13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5:27" x14ac:dyDescent="0.25">
      <c r="E76" s="30"/>
      <c r="F76" s="1"/>
      <c r="G76" s="1"/>
      <c r="H76" s="1"/>
      <c r="I76" s="1"/>
      <c r="J76" s="13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5:27" x14ac:dyDescent="0.25">
      <c r="E77" s="30"/>
      <c r="F77" s="1"/>
      <c r="G77" s="1"/>
      <c r="H77" s="1"/>
      <c r="I77" s="1"/>
      <c r="J77" s="13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95"/>
      <c r="X77" s="1"/>
      <c r="Y77" s="1"/>
      <c r="Z77" s="1"/>
      <c r="AA77" s="1"/>
    </row>
    <row r="78" spans="5:27" x14ac:dyDescent="0.25">
      <c r="E78" s="30"/>
      <c r="F78" s="1"/>
      <c r="G78" s="1"/>
      <c r="H78" s="1"/>
      <c r="I78" s="1"/>
      <c r="J78" s="13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95"/>
      <c r="Y78" s="1"/>
      <c r="Z78" s="95"/>
      <c r="AA78" s="1"/>
    </row>
    <row r="79" spans="5:27" x14ac:dyDescent="0.25">
      <c r="E79" s="30"/>
      <c r="F79" s="1"/>
      <c r="G79" s="1"/>
      <c r="H79" s="1"/>
      <c r="I79" s="1"/>
      <c r="J79" s="13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95"/>
      <c r="X79" s="95"/>
      <c r="Y79" s="1"/>
      <c r="Z79" s="1"/>
      <c r="AA79" s="1"/>
    </row>
    <row r="80" spans="5:27" x14ac:dyDescent="0.25">
      <c r="E80" s="30"/>
      <c r="F80" s="1"/>
      <c r="G80" s="1"/>
      <c r="H80" s="1"/>
      <c r="I80" s="1"/>
      <c r="J80" s="13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95"/>
      <c r="X80" s="95"/>
      <c r="Y80" s="1"/>
      <c r="Z80" s="1"/>
      <c r="AA80" s="1"/>
    </row>
    <row r="81" spans="1:10" s="1" customFormat="1" x14ac:dyDescent="0.25">
      <c r="A81" s="33"/>
      <c r="C81" s="4"/>
      <c r="E81" s="30"/>
      <c r="J81" s="134"/>
    </row>
    <row r="82" spans="1:10" s="1" customFormat="1" x14ac:dyDescent="0.25">
      <c r="A82" s="33"/>
      <c r="C82" s="4"/>
      <c r="E82" s="30"/>
      <c r="J82" s="134"/>
    </row>
    <row r="83" spans="1:10" s="1" customFormat="1" x14ac:dyDescent="0.25">
      <c r="A83" s="33"/>
      <c r="C83" s="4"/>
      <c r="E83" s="30"/>
      <c r="J83" s="134"/>
    </row>
    <row r="84" spans="1:10" s="1" customFormat="1" x14ac:dyDescent="0.25">
      <c r="A84" s="33"/>
      <c r="C84" s="4"/>
      <c r="E84" s="30"/>
      <c r="J84" s="134"/>
    </row>
    <row r="85" spans="1:10" s="1" customFormat="1" x14ac:dyDescent="0.25">
      <c r="A85" s="33"/>
      <c r="C85" s="4"/>
      <c r="E85" s="30"/>
      <c r="J85" s="134"/>
    </row>
    <row r="86" spans="1:10" s="1" customFormat="1" x14ac:dyDescent="0.25">
      <c r="A86" s="33"/>
      <c r="C86" s="4"/>
      <c r="E86" s="30"/>
      <c r="J86" s="134"/>
    </row>
    <row r="87" spans="1:10" s="1" customFormat="1" x14ac:dyDescent="0.25">
      <c r="A87" s="33"/>
      <c r="C87" s="4"/>
      <c r="E87" s="30"/>
      <c r="J87" s="134"/>
    </row>
    <row r="88" spans="1:10" s="1" customFormat="1" x14ac:dyDescent="0.25">
      <c r="A88" s="33"/>
      <c r="C88" s="4"/>
      <c r="E88" s="30"/>
      <c r="J88" s="134"/>
    </row>
    <row r="89" spans="1:10" s="1" customFormat="1" x14ac:dyDescent="0.25">
      <c r="A89" s="33"/>
      <c r="C89" s="4"/>
      <c r="E89" s="30"/>
      <c r="J89" s="134"/>
    </row>
    <row r="90" spans="1:10" s="1" customFormat="1" x14ac:dyDescent="0.25">
      <c r="A90" s="33"/>
      <c r="C90" s="4"/>
      <c r="E90" s="30"/>
      <c r="J90" s="134"/>
    </row>
    <row r="91" spans="1:10" s="1" customFormat="1" x14ac:dyDescent="0.25">
      <c r="A91" s="33"/>
      <c r="C91" s="4"/>
      <c r="E91" s="30"/>
      <c r="J91" s="134"/>
    </row>
    <row r="92" spans="1:10" s="1" customFormat="1" x14ac:dyDescent="0.25">
      <c r="A92" s="33"/>
      <c r="C92" s="4"/>
      <c r="E92" s="30"/>
      <c r="J92" s="134"/>
    </row>
    <row r="93" spans="1:10" s="1" customFormat="1" x14ac:dyDescent="0.25">
      <c r="A93" s="33"/>
      <c r="C93" s="4"/>
      <c r="E93" s="30"/>
      <c r="J93" s="134"/>
    </row>
    <row r="94" spans="1:10" s="1" customFormat="1" x14ac:dyDescent="0.25">
      <c r="A94" s="33"/>
      <c r="C94" s="4"/>
      <c r="E94" s="30"/>
      <c r="J94" s="134"/>
    </row>
    <row r="95" spans="1:10" s="1" customFormat="1" x14ac:dyDescent="0.25">
      <c r="A95" s="33"/>
      <c r="C95" s="4"/>
      <c r="E95" s="30"/>
      <c r="J95" s="134"/>
    </row>
    <row r="96" spans="1:10" s="1" customFormat="1" x14ac:dyDescent="0.25">
      <c r="A96" s="33"/>
      <c r="C96" s="4"/>
      <c r="E96" s="30"/>
      <c r="J96" s="134"/>
    </row>
    <row r="97" spans="1:10" s="1" customFormat="1" x14ac:dyDescent="0.25">
      <c r="A97" s="33"/>
      <c r="C97" s="4"/>
      <c r="E97" s="30"/>
      <c r="J97" s="134"/>
    </row>
    <row r="98" spans="1:10" s="1" customFormat="1" x14ac:dyDescent="0.25">
      <c r="A98" s="33"/>
      <c r="C98" s="4"/>
      <c r="E98" s="30"/>
      <c r="J98" s="134"/>
    </row>
    <row r="99" spans="1:10" s="1" customFormat="1" x14ac:dyDescent="0.25">
      <c r="A99" s="33"/>
      <c r="C99" s="4"/>
      <c r="E99" s="30"/>
      <c r="J99" s="134"/>
    </row>
    <row r="100" spans="1:10" s="1" customFormat="1" x14ac:dyDescent="0.25">
      <c r="A100" s="33"/>
      <c r="C100" s="4"/>
      <c r="E100" s="30"/>
      <c r="J100" s="134"/>
    </row>
    <row r="101" spans="1:10" s="1" customFormat="1" x14ac:dyDescent="0.25">
      <c r="A101" s="33"/>
      <c r="C101" s="4"/>
      <c r="E101" s="30"/>
      <c r="J101" s="134"/>
    </row>
    <row r="102" spans="1:10" s="1" customFormat="1" x14ac:dyDescent="0.25">
      <c r="A102" s="33"/>
      <c r="C102" s="4"/>
      <c r="E102" s="30"/>
      <c r="J102" s="134"/>
    </row>
    <row r="103" spans="1:10" s="1" customFormat="1" x14ac:dyDescent="0.25">
      <c r="A103" s="33"/>
      <c r="C103" s="4"/>
      <c r="E103" s="30"/>
      <c r="J103" s="134"/>
    </row>
    <row r="104" spans="1:10" s="1" customFormat="1" x14ac:dyDescent="0.25">
      <c r="A104" s="33"/>
      <c r="C104" s="4"/>
      <c r="E104" s="30"/>
      <c r="J104" s="134"/>
    </row>
    <row r="105" spans="1:10" s="1" customFormat="1" x14ac:dyDescent="0.25">
      <c r="A105" s="33"/>
      <c r="C105" s="4"/>
      <c r="E105" s="30"/>
      <c r="J105" s="134"/>
    </row>
    <row r="106" spans="1:10" s="1" customFormat="1" x14ac:dyDescent="0.25">
      <c r="A106" s="33"/>
      <c r="C106" s="4"/>
      <c r="E106" s="30"/>
      <c r="J106" s="134"/>
    </row>
    <row r="107" spans="1:10" s="1" customFormat="1" x14ac:dyDescent="0.25">
      <c r="A107" s="33"/>
      <c r="C107" s="4"/>
      <c r="E107" s="30"/>
      <c r="J107" s="134"/>
    </row>
    <row r="108" spans="1:10" s="1" customFormat="1" x14ac:dyDescent="0.25">
      <c r="A108" s="33"/>
      <c r="C108" s="4"/>
      <c r="E108" s="30"/>
      <c r="J108" s="134"/>
    </row>
    <row r="109" spans="1:10" s="1" customFormat="1" x14ac:dyDescent="0.25">
      <c r="A109" s="33"/>
      <c r="C109" s="4"/>
      <c r="E109" s="30"/>
      <c r="J109" s="134"/>
    </row>
    <row r="110" spans="1:10" s="1" customFormat="1" x14ac:dyDescent="0.25">
      <c r="A110" s="33"/>
      <c r="C110" s="4"/>
      <c r="E110" s="30"/>
      <c r="J110" s="134"/>
    </row>
    <row r="111" spans="1:10" s="1" customFormat="1" x14ac:dyDescent="0.25">
      <c r="A111" s="33"/>
      <c r="C111" s="4"/>
      <c r="E111" s="30"/>
      <c r="J111" s="134"/>
    </row>
    <row r="112" spans="1:10" s="1" customFormat="1" x14ac:dyDescent="0.25">
      <c r="A112" s="33"/>
      <c r="C112" s="4"/>
      <c r="E112" s="30"/>
      <c r="J112" s="134"/>
    </row>
    <row r="113" spans="1:10" s="1" customFormat="1" x14ac:dyDescent="0.25">
      <c r="A113" s="33"/>
      <c r="C113" s="4"/>
      <c r="E113" s="30"/>
      <c r="J113" s="134"/>
    </row>
    <row r="114" spans="1:10" s="1" customFormat="1" x14ac:dyDescent="0.25">
      <c r="A114" s="33"/>
      <c r="C114" s="4"/>
      <c r="E114" s="30"/>
      <c r="J114" s="134"/>
    </row>
    <row r="115" spans="1:10" s="1" customFormat="1" x14ac:dyDescent="0.25">
      <c r="A115" s="33"/>
      <c r="C115" s="4"/>
      <c r="E115" s="30"/>
      <c r="J115" s="134"/>
    </row>
    <row r="116" spans="1:10" s="1" customFormat="1" x14ac:dyDescent="0.25">
      <c r="A116" s="33"/>
      <c r="C116" s="4"/>
      <c r="E116" s="30"/>
      <c r="J116" s="134"/>
    </row>
    <row r="117" spans="1:10" s="1" customFormat="1" x14ac:dyDescent="0.25">
      <c r="A117" s="33"/>
      <c r="C117" s="4"/>
      <c r="E117" s="30"/>
      <c r="J117" s="134"/>
    </row>
    <row r="118" spans="1:10" s="1" customFormat="1" x14ac:dyDescent="0.25">
      <c r="A118" s="33"/>
      <c r="C118" s="4"/>
      <c r="E118" s="30"/>
      <c r="J118" s="134"/>
    </row>
    <row r="119" spans="1:10" s="1" customFormat="1" x14ac:dyDescent="0.25">
      <c r="A119" s="33"/>
      <c r="C119" s="4"/>
      <c r="E119" s="30"/>
      <c r="J119" s="134"/>
    </row>
    <row r="120" spans="1:10" s="1" customFormat="1" x14ac:dyDescent="0.25">
      <c r="A120" s="33"/>
      <c r="C120" s="4"/>
      <c r="E120" s="30"/>
      <c r="J120" s="134"/>
    </row>
    <row r="121" spans="1:10" s="1" customFormat="1" x14ac:dyDescent="0.25">
      <c r="A121" s="33"/>
      <c r="C121" s="4"/>
      <c r="E121" s="30"/>
      <c r="J121" s="134"/>
    </row>
    <row r="122" spans="1:10" s="1" customFormat="1" x14ac:dyDescent="0.25">
      <c r="A122" s="33"/>
      <c r="C122" s="4"/>
      <c r="E122" s="30"/>
      <c r="J122" s="134"/>
    </row>
    <row r="123" spans="1:10" s="1" customFormat="1" x14ac:dyDescent="0.25">
      <c r="A123" s="33"/>
      <c r="C123" s="4"/>
      <c r="E123" s="30"/>
      <c r="J123" s="134"/>
    </row>
    <row r="124" spans="1:10" s="1" customFormat="1" x14ac:dyDescent="0.25">
      <c r="A124" s="33"/>
      <c r="C124" s="4"/>
      <c r="E124" s="30"/>
      <c r="J124" s="134"/>
    </row>
    <row r="125" spans="1:10" s="1" customFormat="1" x14ac:dyDescent="0.25">
      <c r="A125" s="33"/>
      <c r="C125" s="4"/>
      <c r="E125" s="30"/>
      <c r="J125" s="134"/>
    </row>
    <row r="126" spans="1:10" s="1" customFormat="1" x14ac:dyDescent="0.25">
      <c r="A126" s="33"/>
      <c r="C126" s="4"/>
      <c r="E126" s="30"/>
      <c r="J126" s="134"/>
    </row>
    <row r="127" spans="1:10" s="1" customFormat="1" x14ac:dyDescent="0.25">
      <c r="A127" s="33"/>
      <c r="C127" s="4"/>
      <c r="E127" s="30"/>
      <c r="J127" s="134"/>
    </row>
    <row r="128" spans="1:10" s="1" customFormat="1" x14ac:dyDescent="0.25">
      <c r="A128" s="33"/>
      <c r="C128" s="4"/>
      <c r="E128" s="30"/>
      <c r="J128" s="134"/>
    </row>
    <row r="129" spans="1:10" s="1" customFormat="1" x14ac:dyDescent="0.25">
      <c r="A129" s="33"/>
      <c r="C129" s="4"/>
      <c r="E129" s="30"/>
      <c r="J129" s="134"/>
    </row>
    <row r="130" spans="1:10" s="1" customFormat="1" x14ac:dyDescent="0.25">
      <c r="A130" s="33"/>
      <c r="C130" s="4"/>
      <c r="E130" s="30"/>
      <c r="J130" s="134"/>
    </row>
    <row r="131" spans="1:10" s="1" customFormat="1" x14ac:dyDescent="0.25">
      <c r="A131" s="33"/>
      <c r="C131" s="4"/>
      <c r="E131" s="30"/>
      <c r="J131" s="134"/>
    </row>
    <row r="132" spans="1:10" s="1" customFormat="1" x14ac:dyDescent="0.25">
      <c r="A132" s="33"/>
      <c r="C132" s="4"/>
      <c r="E132" s="30"/>
      <c r="J132" s="134"/>
    </row>
    <row r="133" spans="1:10" s="1" customFormat="1" x14ac:dyDescent="0.25">
      <c r="A133" s="33"/>
      <c r="C133" s="4"/>
      <c r="E133" s="30"/>
      <c r="J133" s="134"/>
    </row>
    <row r="134" spans="1:10" s="1" customFormat="1" x14ac:dyDescent="0.25">
      <c r="A134" s="33"/>
      <c r="C134" s="4"/>
      <c r="E134" s="30"/>
      <c r="J134" s="134"/>
    </row>
    <row r="135" spans="1:10" s="1" customFormat="1" x14ac:dyDescent="0.25">
      <c r="A135" s="33"/>
      <c r="C135" s="4"/>
      <c r="E135" s="30"/>
      <c r="J135" s="134"/>
    </row>
    <row r="136" spans="1:10" s="1" customFormat="1" x14ac:dyDescent="0.25">
      <c r="A136" s="33"/>
      <c r="C136" s="4"/>
      <c r="E136" s="30"/>
      <c r="J136" s="134"/>
    </row>
    <row r="137" spans="1:10" s="1" customFormat="1" x14ac:dyDescent="0.25">
      <c r="A137" s="33"/>
      <c r="C137" s="4"/>
      <c r="E137" s="30"/>
      <c r="J137" s="134"/>
    </row>
    <row r="138" spans="1:10" s="1" customFormat="1" x14ac:dyDescent="0.25">
      <c r="A138" s="33"/>
      <c r="C138" s="4"/>
      <c r="E138" s="30"/>
      <c r="J138" s="134"/>
    </row>
    <row r="139" spans="1:10" s="1" customFormat="1" x14ac:dyDescent="0.25">
      <c r="A139" s="33"/>
      <c r="C139" s="4"/>
      <c r="E139" s="30"/>
      <c r="J139" s="134"/>
    </row>
    <row r="140" spans="1:10" s="1" customFormat="1" x14ac:dyDescent="0.25">
      <c r="A140" s="33"/>
      <c r="C140" s="4"/>
      <c r="E140" s="30"/>
      <c r="J140" s="134"/>
    </row>
    <row r="141" spans="1:10" s="1" customFormat="1" x14ac:dyDescent="0.25">
      <c r="A141" s="33"/>
      <c r="C141" s="4"/>
      <c r="E141" s="30"/>
      <c r="J141" s="134"/>
    </row>
    <row r="142" spans="1:10" s="1" customFormat="1" x14ac:dyDescent="0.25">
      <c r="A142" s="33"/>
      <c r="C142" s="4"/>
      <c r="E142" s="30"/>
      <c r="J142" s="134"/>
    </row>
    <row r="143" spans="1:10" s="1" customFormat="1" x14ac:dyDescent="0.25">
      <c r="A143" s="33"/>
      <c r="C143" s="4"/>
      <c r="E143" s="30"/>
      <c r="J143" s="134"/>
    </row>
    <row r="144" spans="1:10" s="1" customFormat="1" x14ac:dyDescent="0.25">
      <c r="A144" s="33"/>
      <c r="C144" s="4"/>
      <c r="E144" s="30"/>
      <c r="J144" s="134"/>
    </row>
    <row r="145" spans="1:10" s="1" customFormat="1" x14ac:dyDescent="0.25">
      <c r="A145" s="33"/>
      <c r="C145" s="4"/>
      <c r="E145" s="30"/>
      <c r="J145" s="134"/>
    </row>
    <row r="146" spans="1:10" s="1" customFormat="1" x14ac:dyDescent="0.25">
      <c r="A146" s="33"/>
      <c r="C146" s="4"/>
      <c r="E146" s="30"/>
      <c r="J146" s="134"/>
    </row>
    <row r="147" spans="1:10" s="1" customFormat="1" x14ac:dyDescent="0.25">
      <c r="A147" s="33"/>
      <c r="C147" s="4"/>
      <c r="E147" s="30"/>
      <c r="J147" s="134"/>
    </row>
    <row r="148" spans="1:10" s="1" customFormat="1" x14ac:dyDescent="0.25">
      <c r="A148" s="33"/>
      <c r="C148" s="4"/>
      <c r="E148" s="30"/>
      <c r="J148" s="134"/>
    </row>
    <row r="149" spans="1:10" s="1" customFormat="1" x14ac:dyDescent="0.25">
      <c r="A149" s="33"/>
      <c r="C149" s="4"/>
      <c r="E149" s="30"/>
      <c r="J149" s="134"/>
    </row>
    <row r="150" spans="1:10" s="1" customFormat="1" x14ac:dyDescent="0.25">
      <c r="A150" s="33"/>
      <c r="C150" s="4"/>
      <c r="E150" s="30"/>
      <c r="J150" s="134"/>
    </row>
    <row r="151" spans="1:10" s="1" customFormat="1" x14ac:dyDescent="0.25">
      <c r="A151" s="33"/>
      <c r="C151" s="4"/>
      <c r="E151" s="30"/>
      <c r="J151" s="134"/>
    </row>
    <row r="152" spans="1:10" s="1" customFormat="1" x14ac:dyDescent="0.25">
      <c r="A152" s="33"/>
      <c r="C152" s="4"/>
      <c r="E152" s="30"/>
      <c r="J152" s="134"/>
    </row>
    <row r="153" spans="1:10" s="1" customFormat="1" x14ac:dyDescent="0.25">
      <c r="A153" s="33"/>
      <c r="C153" s="4"/>
      <c r="E153" s="30"/>
      <c r="J153" s="134"/>
    </row>
    <row r="154" spans="1:10" s="1" customFormat="1" x14ac:dyDescent="0.25">
      <c r="A154" s="33"/>
      <c r="C154" s="4"/>
      <c r="E154" s="30"/>
      <c r="J154" s="134"/>
    </row>
    <row r="155" spans="1:10" s="1" customFormat="1" x14ac:dyDescent="0.25">
      <c r="A155" s="33"/>
      <c r="C155" s="4"/>
      <c r="E155" s="30"/>
      <c r="J155" s="134"/>
    </row>
    <row r="156" spans="1:10" s="1" customFormat="1" x14ac:dyDescent="0.25">
      <c r="A156" s="33"/>
      <c r="C156" s="4"/>
      <c r="E156" s="30"/>
      <c r="J156" s="134"/>
    </row>
    <row r="157" spans="1:10" s="1" customFormat="1" x14ac:dyDescent="0.25">
      <c r="A157" s="33"/>
      <c r="C157" s="4"/>
      <c r="E157" s="30"/>
      <c r="J157" s="134"/>
    </row>
    <row r="158" spans="1:10" s="1" customFormat="1" x14ac:dyDescent="0.25">
      <c r="A158" s="33"/>
      <c r="C158" s="4"/>
      <c r="E158" s="30"/>
      <c r="J158" s="134"/>
    </row>
    <row r="159" spans="1:10" s="1" customFormat="1" x14ac:dyDescent="0.25">
      <c r="A159" s="33"/>
      <c r="C159" s="4"/>
      <c r="E159" s="30"/>
      <c r="J159" s="134"/>
    </row>
    <row r="160" spans="1:10" s="1" customFormat="1" x14ac:dyDescent="0.25">
      <c r="A160" s="33"/>
      <c r="C160" s="4"/>
      <c r="E160" s="30"/>
      <c r="J160" s="134"/>
    </row>
    <row r="161" spans="1:10" s="1" customFormat="1" x14ac:dyDescent="0.25">
      <c r="A161" s="33"/>
      <c r="C161" s="4"/>
      <c r="E161" s="30"/>
      <c r="J161" s="134"/>
    </row>
    <row r="162" spans="1:10" s="1" customFormat="1" x14ac:dyDescent="0.25">
      <c r="A162" s="33"/>
      <c r="C162" s="4"/>
      <c r="E162" s="30"/>
      <c r="J162" s="134"/>
    </row>
    <row r="163" spans="1:10" s="1" customFormat="1" x14ac:dyDescent="0.25">
      <c r="A163" s="33"/>
      <c r="C163" s="4"/>
      <c r="E163" s="30"/>
      <c r="J163" s="134"/>
    </row>
    <row r="164" spans="1:10" s="1" customFormat="1" x14ac:dyDescent="0.25">
      <c r="A164" s="33"/>
      <c r="C164" s="4"/>
      <c r="E164" s="30"/>
      <c r="J164" s="134"/>
    </row>
    <row r="165" spans="1:10" s="1" customFormat="1" x14ac:dyDescent="0.25">
      <c r="A165" s="33"/>
      <c r="C165" s="4"/>
      <c r="E165" s="30"/>
      <c r="J165" s="134"/>
    </row>
    <row r="166" spans="1:10" s="1" customFormat="1" x14ac:dyDescent="0.25">
      <c r="A166" s="33"/>
      <c r="C166" s="4"/>
      <c r="E166" s="30"/>
      <c r="J166" s="134"/>
    </row>
    <row r="167" spans="1:10" s="1" customFormat="1" x14ac:dyDescent="0.25">
      <c r="A167" s="33"/>
      <c r="C167" s="4"/>
      <c r="E167" s="30"/>
      <c r="J167" s="134"/>
    </row>
    <row r="168" spans="1:10" s="1" customFormat="1" x14ac:dyDescent="0.25">
      <c r="A168" s="33"/>
      <c r="C168" s="4"/>
      <c r="E168" s="30"/>
      <c r="J168" s="134"/>
    </row>
    <row r="169" spans="1:10" s="1" customFormat="1" x14ac:dyDescent="0.25">
      <c r="A169" s="33"/>
      <c r="C169" s="4"/>
      <c r="E169" s="30"/>
      <c r="J169" s="134"/>
    </row>
    <row r="170" spans="1:10" s="1" customFormat="1" x14ac:dyDescent="0.25">
      <c r="A170" s="33"/>
      <c r="C170" s="4"/>
      <c r="E170" s="30"/>
      <c r="J170" s="134"/>
    </row>
    <row r="171" spans="1:10" s="1" customFormat="1" x14ac:dyDescent="0.25">
      <c r="A171" s="33"/>
      <c r="C171" s="4"/>
      <c r="E171" s="30"/>
      <c r="J171" s="134"/>
    </row>
    <row r="172" spans="1:10" s="1" customFormat="1" x14ac:dyDescent="0.25">
      <c r="A172" s="33"/>
      <c r="C172" s="4"/>
      <c r="E172" s="30"/>
      <c r="J172" s="134"/>
    </row>
    <row r="173" spans="1:10" s="1" customFormat="1" x14ac:dyDescent="0.25">
      <c r="A173" s="33"/>
      <c r="C173" s="4"/>
      <c r="E173" s="30"/>
      <c r="J173" s="134"/>
    </row>
    <row r="174" spans="1:10" s="1" customFormat="1" x14ac:dyDescent="0.25">
      <c r="A174" s="33"/>
      <c r="C174" s="4"/>
      <c r="E174" s="30"/>
      <c r="J174" s="134"/>
    </row>
    <row r="175" spans="1:10" s="1" customFormat="1" x14ac:dyDescent="0.25">
      <c r="A175" s="33"/>
      <c r="C175" s="4"/>
      <c r="E175" s="30"/>
      <c r="J175" s="134"/>
    </row>
    <row r="176" spans="1:10" s="1" customFormat="1" x14ac:dyDescent="0.25">
      <c r="A176" s="33"/>
      <c r="C176" s="4"/>
      <c r="E176" s="30"/>
      <c r="J176" s="134"/>
    </row>
    <row r="177" spans="1:10" s="1" customFormat="1" x14ac:dyDescent="0.25">
      <c r="A177" s="33"/>
      <c r="C177" s="4"/>
      <c r="E177" s="30"/>
      <c r="J177" s="134"/>
    </row>
    <row r="178" spans="1:10" s="1" customFormat="1" x14ac:dyDescent="0.25">
      <c r="A178" s="33"/>
      <c r="C178" s="4"/>
      <c r="E178" s="30"/>
      <c r="J178" s="134"/>
    </row>
    <row r="179" spans="1:10" s="1" customFormat="1" x14ac:dyDescent="0.25">
      <c r="A179" s="33"/>
      <c r="C179" s="4"/>
      <c r="E179" s="30"/>
      <c r="J179" s="134"/>
    </row>
    <row r="180" spans="1:10" s="1" customFormat="1" x14ac:dyDescent="0.25">
      <c r="A180" s="33"/>
      <c r="C180" s="4"/>
      <c r="E180" s="30"/>
      <c r="J180" s="134"/>
    </row>
    <row r="181" spans="1:10" s="1" customFormat="1" x14ac:dyDescent="0.25">
      <c r="A181" s="33"/>
      <c r="C181" s="4"/>
      <c r="E181" s="30"/>
      <c r="J181" s="134"/>
    </row>
    <row r="182" spans="1:10" s="1" customFormat="1" x14ac:dyDescent="0.25">
      <c r="A182" s="33"/>
      <c r="C182" s="4"/>
      <c r="E182" s="30"/>
      <c r="J182" s="134"/>
    </row>
    <row r="183" spans="1:10" s="1" customFormat="1" x14ac:dyDescent="0.25">
      <c r="A183" s="33"/>
      <c r="C183" s="4"/>
      <c r="E183" s="30"/>
      <c r="J183" s="134"/>
    </row>
    <row r="184" spans="1:10" s="1" customFormat="1" x14ac:dyDescent="0.25">
      <c r="A184" s="33"/>
      <c r="C184" s="4"/>
      <c r="E184" s="30"/>
      <c r="J184" s="134"/>
    </row>
    <row r="185" spans="1:10" s="1" customFormat="1" x14ac:dyDescent="0.25">
      <c r="A185" s="33"/>
      <c r="C185" s="4"/>
      <c r="E185" s="30"/>
      <c r="J185" s="134"/>
    </row>
    <row r="186" spans="1:10" s="1" customFormat="1" x14ac:dyDescent="0.25">
      <c r="A186" s="33"/>
      <c r="C186" s="4"/>
      <c r="E186" s="30"/>
      <c r="J186" s="134"/>
    </row>
    <row r="187" spans="1:10" s="1" customFormat="1" x14ac:dyDescent="0.25">
      <c r="A187" s="33"/>
      <c r="C187" s="4"/>
      <c r="E187" s="30"/>
      <c r="J187" s="134"/>
    </row>
    <row r="188" spans="1:10" s="1" customFormat="1" x14ac:dyDescent="0.25">
      <c r="A188" s="33"/>
      <c r="C188" s="4"/>
      <c r="E188" s="30"/>
      <c r="J188" s="134"/>
    </row>
    <row r="189" spans="1:10" s="1" customFormat="1" x14ac:dyDescent="0.25">
      <c r="A189" s="33"/>
      <c r="C189" s="4"/>
      <c r="E189" s="30"/>
      <c r="J189" s="134"/>
    </row>
    <row r="190" spans="1:10" s="1" customFormat="1" x14ac:dyDescent="0.25">
      <c r="A190" s="33"/>
      <c r="C190" s="4"/>
      <c r="E190" s="30"/>
      <c r="J190" s="134"/>
    </row>
    <row r="191" spans="1:10" s="1" customFormat="1" x14ac:dyDescent="0.25">
      <c r="A191" s="33"/>
      <c r="C191" s="4"/>
      <c r="E191" s="30"/>
      <c r="J191" s="134"/>
    </row>
    <row r="192" spans="1:10" s="1" customFormat="1" x14ac:dyDescent="0.25">
      <c r="A192" s="33"/>
      <c r="C192" s="4"/>
      <c r="E192" s="30"/>
      <c r="J192" s="134"/>
    </row>
    <row r="193" spans="1:10" s="1" customFormat="1" x14ac:dyDescent="0.25">
      <c r="A193" s="33"/>
      <c r="C193" s="4"/>
      <c r="E193" s="30"/>
      <c r="J193" s="134"/>
    </row>
    <row r="194" spans="1:10" s="1" customFormat="1" x14ac:dyDescent="0.25">
      <c r="A194" s="33"/>
      <c r="C194" s="4"/>
      <c r="E194" s="30"/>
      <c r="J194" s="134"/>
    </row>
    <row r="195" spans="1:10" s="1" customFormat="1" x14ac:dyDescent="0.25">
      <c r="A195" s="33"/>
      <c r="C195" s="4"/>
      <c r="E195" s="30"/>
      <c r="J195" s="134"/>
    </row>
    <row r="196" spans="1:10" s="1" customFormat="1" x14ac:dyDescent="0.25">
      <c r="A196" s="33"/>
      <c r="C196" s="4"/>
      <c r="E196" s="30"/>
      <c r="J196" s="134"/>
    </row>
    <row r="197" spans="1:10" s="1" customFormat="1" x14ac:dyDescent="0.25">
      <c r="A197" s="33"/>
      <c r="C197" s="4"/>
      <c r="E197" s="30"/>
      <c r="J197" s="134"/>
    </row>
    <row r="198" spans="1:10" s="1" customFormat="1" x14ac:dyDescent="0.25">
      <c r="A198" s="33"/>
      <c r="C198" s="4"/>
      <c r="E198" s="30"/>
      <c r="J198" s="134"/>
    </row>
    <row r="199" spans="1:10" s="1" customFormat="1" x14ac:dyDescent="0.25">
      <c r="A199" s="33"/>
      <c r="C199" s="4"/>
      <c r="E199" s="30"/>
      <c r="J199" s="134"/>
    </row>
    <row r="200" spans="1:10" s="1" customFormat="1" x14ac:dyDescent="0.25">
      <c r="A200" s="33"/>
      <c r="C200" s="4"/>
      <c r="E200" s="30"/>
      <c r="J200" s="134"/>
    </row>
    <row r="201" spans="1:10" s="1" customFormat="1" x14ac:dyDescent="0.25">
      <c r="A201" s="33"/>
      <c r="C201" s="4"/>
      <c r="E201" s="30"/>
      <c r="J201" s="134"/>
    </row>
    <row r="202" spans="1:10" s="1" customFormat="1" x14ac:dyDescent="0.25">
      <c r="A202" s="33"/>
      <c r="C202" s="4"/>
      <c r="E202" s="30"/>
      <c r="J202" s="134"/>
    </row>
    <row r="203" spans="1:10" s="1" customFormat="1" x14ac:dyDescent="0.25">
      <c r="A203" s="33"/>
      <c r="C203" s="4"/>
      <c r="E203" s="30"/>
      <c r="J203" s="134"/>
    </row>
    <row r="204" spans="1:10" s="1" customFormat="1" x14ac:dyDescent="0.25">
      <c r="A204" s="33"/>
      <c r="C204" s="4"/>
      <c r="E204" s="30"/>
      <c r="J204" s="134"/>
    </row>
    <row r="205" spans="1:10" s="1" customFormat="1" x14ac:dyDescent="0.25">
      <c r="A205" s="33"/>
      <c r="C205" s="4"/>
      <c r="E205" s="30"/>
      <c r="J205" s="134"/>
    </row>
    <row r="206" spans="1:10" s="1" customFormat="1" x14ac:dyDescent="0.25">
      <c r="A206" s="33"/>
      <c r="C206" s="4"/>
      <c r="E206" s="30"/>
      <c r="J206" s="134"/>
    </row>
    <row r="207" spans="1:10" s="1" customFormat="1" x14ac:dyDescent="0.25">
      <c r="A207" s="33"/>
      <c r="C207" s="4"/>
      <c r="E207" s="30"/>
      <c r="J207" s="134"/>
    </row>
    <row r="208" spans="1:10" s="1" customFormat="1" x14ac:dyDescent="0.25">
      <c r="A208" s="33"/>
      <c r="C208" s="4"/>
      <c r="E208" s="30"/>
      <c r="J208" s="134"/>
    </row>
    <row r="209" spans="1:10" s="1" customFormat="1" x14ac:dyDescent="0.25">
      <c r="A209" s="33"/>
      <c r="C209" s="4"/>
      <c r="E209" s="30"/>
      <c r="J209" s="134"/>
    </row>
    <row r="210" spans="1:10" s="1" customFormat="1" x14ac:dyDescent="0.25">
      <c r="A210" s="33"/>
      <c r="C210" s="4"/>
      <c r="E210" s="30"/>
      <c r="J210" s="134"/>
    </row>
    <row r="211" spans="1:10" s="1" customFormat="1" x14ac:dyDescent="0.25">
      <c r="A211" s="33"/>
      <c r="C211" s="4"/>
      <c r="E211" s="30"/>
      <c r="J211" s="134"/>
    </row>
    <row r="212" spans="1:10" s="1" customFormat="1" x14ac:dyDescent="0.25">
      <c r="A212" s="33"/>
      <c r="C212" s="4"/>
      <c r="E212" s="30"/>
      <c r="J212" s="134"/>
    </row>
    <row r="213" spans="1:10" s="1" customFormat="1" x14ac:dyDescent="0.25">
      <c r="A213" s="33"/>
      <c r="C213" s="4"/>
      <c r="E213" s="30"/>
      <c r="J213" s="134"/>
    </row>
    <row r="214" spans="1:10" s="1" customFormat="1" x14ac:dyDescent="0.25">
      <c r="A214" s="33"/>
      <c r="C214" s="4"/>
      <c r="E214" s="30"/>
      <c r="J214" s="134"/>
    </row>
    <row r="215" spans="1:10" s="1" customFormat="1" x14ac:dyDescent="0.25">
      <c r="A215" s="33"/>
      <c r="C215" s="4"/>
      <c r="E215" s="30"/>
      <c r="J215" s="134"/>
    </row>
    <row r="216" spans="1:10" s="1" customFormat="1" x14ac:dyDescent="0.25">
      <c r="A216" s="33"/>
      <c r="C216" s="4"/>
      <c r="E216" s="30"/>
      <c r="J216" s="134"/>
    </row>
    <row r="217" spans="1:10" s="1" customFormat="1" x14ac:dyDescent="0.25">
      <c r="A217" s="33"/>
      <c r="C217" s="4"/>
      <c r="E217" s="30"/>
      <c r="J217" s="134"/>
    </row>
    <row r="218" spans="1:10" s="1" customFormat="1" x14ac:dyDescent="0.25">
      <c r="A218" s="33"/>
      <c r="C218" s="4"/>
      <c r="E218" s="30"/>
      <c r="J218" s="134"/>
    </row>
    <row r="219" spans="1:10" s="1" customFormat="1" x14ac:dyDescent="0.25">
      <c r="A219" s="33"/>
      <c r="C219" s="4"/>
      <c r="E219" s="30"/>
      <c r="J219" s="134"/>
    </row>
    <row r="220" spans="1:10" s="1" customFormat="1" x14ac:dyDescent="0.25">
      <c r="A220" s="33"/>
      <c r="C220" s="4"/>
      <c r="E220" s="30"/>
      <c r="J220" s="134"/>
    </row>
    <row r="221" spans="1:10" s="1" customFormat="1" x14ac:dyDescent="0.25">
      <c r="A221" s="33"/>
      <c r="C221" s="4"/>
      <c r="E221" s="30"/>
      <c r="J221" s="134"/>
    </row>
    <row r="222" spans="1:10" s="1" customFormat="1" x14ac:dyDescent="0.25">
      <c r="A222" s="33"/>
      <c r="C222" s="4"/>
      <c r="E222" s="30"/>
      <c r="J222" s="134"/>
    </row>
    <row r="223" spans="1:10" s="1" customFormat="1" x14ac:dyDescent="0.25">
      <c r="A223" s="33"/>
      <c r="C223" s="4"/>
      <c r="E223" s="30"/>
      <c r="J223" s="134"/>
    </row>
    <row r="224" spans="1:10" s="1" customFormat="1" x14ac:dyDescent="0.25">
      <c r="A224" s="33"/>
      <c r="C224" s="4"/>
      <c r="E224" s="30"/>
      <c r="J224" s="134"/>
    </row>
    <row r="225" spans="1:10" s="1" customFormat="1" x14ac:dyDescent="0.25">
      <c r="A225" s="33"/>
      <c r="C225" s="4"/>
      <c r="E225" s="30"/>
      <c r="J225" s="134"/>
    </row>
    <row r="226" spans="1:10" s="1" customFormat="1" x14ac:dyDescent="0.25">
      <c r="A226" s="33"/>
      <c r="C226" s="4"/>
      <c r="E226" s="30"/>
      <c r="J226" s="134"/>
    </row>
    <row r="227" spans="1:10" s="1" customFormat="1" x14ac:dyDescent="0.25">
      <c r="A227" s="33"/>
      <c r="C227" s="4"/>
      <c r="E227" s="30"/>
      <c r="J227" s="134"/>
    </row>
    <row r="228" spans="1:10" s="1" customFormat="1" x14ac:dyDescent="0.25">
      <c r="A228" s="33"/>
      <c r="C228" s="4"/>
      <c r="E228" s="30"/>
      <c r="J228" s="134"/>
    </row>
    <row r="229" spans="1:10" s="1" customFormat="1" x14ac:dyDescent="0.25">
      <c r="A229" s="33"/>
      <c r="C229" s="4"/>
      <c r="E229" s="30"/>
      <c r="J229" s="134"/>
    </row>
    <row r="230" spans="1:10" s="1" customFormat="1" x14ac:dyDescent="0.25">
      <c r="A230" s="33"/>
      <c r="C230" s="4"/>
      <c r="E230" s="30"/>
      <c r="J230" s="134"/>
    </row>
    <row r="231" spans="1:10" s="1" customFormat="1" x14ac:dyDescent="0.25">
      <c r="A231" s="33"/>
      <c r="C231" s="4"/>
      <c r="E231" s="30"/>
      <c r="J231" s="134"/>
    </row>
    <row r="232" spans="1:10" s="1" customFormat="1" x14ac:dyDescent="0.25">
      <c r="A232" s="33"/>
      <c r="C232" s="4"/>
      <c r="E232" s="30"/>
      <c r="J232" s="134"/>
    </row>
    <row r="233" spans="1:10" s="1" customFormat="1" x14ac:dyDescent="0.25">
      <c r="A233" s="33"/>
      <c r="C233" s="4"/>
      <c r="E233" s="30"/>
      <c r="J233" s="134"/>
    </row>
    <row r="234" spans="1:10" s="1" customFormat="1" x14ac:dyDescent="0.25">
      <c r="A234" s="33"/>
      <c r="C234" s="4"/>
      <c r="E234" s="30"/>
      <c r="J234" s="134"/>
    </row>
    <row r="235" spans="1:10" s="1" customFormat="1" x14ac:dyDescent="0.25">
      <c r="A235" s="33"/>
      <c r="C235" s="4"/>
      <c r="E235" s="30"/>
      <c r="J235" s="134"/>
    </row>
    <row r="236" spans="1:10" s="1" customFormat="1" x14ac:dyDescent="0.25">
      <c r="A236" s="33"/>
      <c r="C236" s="4"/>
      <c r="E236" s="30"/>
      <c r="J236" s="134"/>
    </row>
    <row r="237" spans="1:10" s="1" customFormat="1" x14ac:dyDescent="0.25">
      <c r="A237" s="33"/>
      <c r="C237" s="4"/>
      <c r="E237" s="30"/>
      <c r="J237" s="134"/>
    </row>
    <row r="238" spans="1:10" s="1" customFormat="1" x14ac:dyDescent="0.25">
      <c r="A238" s="33"/>
      <c r="C238" s="4"/>
      <c r="E238" s="30"/>
      <c r="J238" s="134"/>
    </row>
    <row r="239" spans="1:10" s="1" customFormat="1" x14ac:dyDescent="0.25">
      <c r="A239" s="33"/>
      <c r="C239" s="4"/>
      <c r="E239" s="30"/>
      <c r="J239" s="134"/>
    </row>
    <row r="240" spans="1:10" s="1" customFormat="1" x14ac:dyDescent="0.25">
      <c r="A240" s="33"/>
      <c r="C240" s="4"/>
      <c r="E240" s="30"/>
      <c r="J240" s="134"/>
    </row>
    <row r="241" spans="1:10" s="1" customFormat="1" x14ac:dyDescent="0.25">
      <c r="A241" s="33"/>
      <c r="C241" s="4"/>
      <c r="E241" s="30"/>
      <c r="J241" s="134"/>
    </row>
    <row r="242" spans="1:10" s="1" customFormat="1" x14ac:dyDescent="0.25">
      <c r="A242" s="33"/>
      <c r="C242" s="4"/>
      <c r="E242" s="30"/>
      <c r="J242" s="134"/>
    </row>
    <row r="243" spans="1:10" s="1" customFormat="1" x14ac:dyDescent="0.25">
      <c r="A243" s="33"/>
      <c r="C243" s="4"/>
      <c r="E243" s="30"/>
      <c r="J243" s="134"/>
    </row>
    <row r="244" spans="1:10" s="1" customFormat="1" x14ac:dyDescent="0.25">
      <c r="A244" s="33"/>
      <c r="C244" s="4"/>
      <c r="E244" s="30"/>
      <c r="J244" s="134"/>
    </row>
    <row r="245" spans="1:10" s="1" customFormat="1" x14ac:dyDescent="0.25">
      <c r="A245" s="33"/>
      <c r="C245" s="4"/>
      <c r="E245" s="30"/>
      <c r="J245" s="134"/>
    </row>
    <row r="246" spans="1:10" s="1" customFormat="1" x14ac:dyDescent="0.25">
      <c r="A246" s="33"/>
      <c r="C246" s="4"/>
      <c r="E246" s="30"/>
      <c r="J246" s="134"/>
    </row>
    <row r="247" spans="1:10" s="1" customFormat="1" x14ac:dyDescent="0.25">
      <c r="A247" s="33"/>
      <c r="C247" s="4"/>
      <c r="E247" s="30"/>
      <c r="J247" s="134"/>
    </row>
    <row r="248" spans="1:10" s="1" customFormat="1" x14ac:dyDescent="0.25">
      <c r="A248" s="33"/>
      <c r="C248" s="4"/>
      <c r="E248" s="30"/>
      <c r="J248" s="134"/>
    </row>
    <row r="249" spans="1:10" s="1" customFormat="1" x14ac:dyDescent="0.25">
      <c r="A249" s="33"/>
      <c r="C249" s="4"/>
      <c r="E249" s="30"/>
      <c r="J249" s="134"/>
    </row>
    <row r="250" spans="1:10" s="1" customFormat="1" x14ac:dyDescent="0.25">
      <c r="A250" s="33"/>
      <c r="C250" s="4"/>
      <c r="E250" s="30"/>
      <c r="J250" s="134"/>
    </row>
    <row r="251" spans="1:10" s="1" customFormat="1" x14ac:dyDescent="0.25">
      <c r="A251" s="33"/>
      <c r="C251" s="4"/>
      <c r="E251" s="30"/>
      <c r="J251" s="134"/>
    </row>
    <row r="252" spans="1:10" s="1" customFormat="1" x14ac:dyDescent="0.25">
      <c r="A252" s="33"/>
      <c r="C252" s="4"/>
      <c r="E252" s="30"/>
      <c r="J252" s="134"/>
    </row>
    <row r="253" spans="1:10" s="1" customFormat="1" x14ac:dyDescent="0.25">
      <c r="A253" s="33"/>
      <c r="C253" s="4"/>
      <c r="E253" s="30"/>
      <c r="J253" s="134"/>
    </row>
    <row r="254" spans="1:10" s="1" customFormat="1" x14ac:dyDescent="0.25">
      <c r="A254" s="33"/>
      <c r="C254" s="4"/>
      <c r="E254" s="30"/>
      <c r="J254" s="134"/>
    </row>
    <row r="255" spans="1:10" s="1" customFormat="1" x14ac:dyDescent="0.25">
      <c r="A255" s="33"/>
      <c r="C255" s="4"/>
      <c r="E255" s="30"/>
      <c r="J255" s="134"/>
    </row>
    <row r="256" spans="1:10" s="1" customFormat="1" x14ac:dyDescent="0.25">
      <c r="A256" s="33"/>
      <c r="C256" s="4"/>
      <c r="E256" s="30"/>
      <c r="J256" s="134"/>
    </row>
    <row r="257" spans="1:10" s="1" customFormat="1" x14ac:dyDescent="0.25">
      <c r="A257" s="33"/>
      <c r="C257" s="4"/>
      <c r="E257" s="30"/>
      <c r="J257" s="134"/>
    </row>
    <row r="258" spans="1:10" s="1" customFormat="1" x14ac:dyDescent="0.25">
      <c r="A258" s="33"/>
      <c r="C258" s="4"/>
      <c r="E258" s="30"/>
      <c r="J258" s="134"/>
    </row>
    <row r="259" spans="1:10" s="1" customFormat="1" x14ac:dyDescent="0.25">
      <c r="A259" s="33"/>
      <c r="C259" s="4"/>
      <c r="E259" s="30"/>
      <c r="J259" s="134"/>
    </row>
    <row r="260" spans="1:10" s="1" customFormat="1" x14ac:dyDescent="0.25">
      <c r="A260" s="33"/>
      <c r="C260" s="4"/>
      <c r="E260" s="30"/>
      <c r="J260" s="134"/>
    </row>
    <row r="261" spans="1:10" s="1" customFormat="1" x14ac:dyDescent="0.25">
      <c r="A261" s="33"/>
      <c r="C261" s="4"/>
      <c r="E261" s="30"/>
      <c r="J261" s="134"/>
    </row>
    <row r="262" spans="1:10" s="1" customFormat="1" x14ac:dyDescent="0.25">
      <c r="A262" s="33"/>
      <c r="C262" s="4"/>
      <c r="E262" s="30"/>
      <c r="J262" s="134"/>
    </row>
    <row r="263" spans="1:10" s="1" customFormat="1" x14ac:dyDescent="0.25">
      <c r="A263" s="33"/>
      <c r="C263" s="4"/>
      <c r="E263" s="30"/>
      <c r="J263" s="134"/>
    </row>
    <row r="264" spans="1:10" s="1" customFormat="1" x14ac:dyDescent="0.25">
      <c r="A264" s="33"/>
      <c r="C264" s="4"/>
      <c r="E264" s="30"/>
      <c r="J264" s="134"/>
    </row>
    <row r="265" spans="1:10" s="1" customFormat="1" x14ac:dyDescent="0.25">
      <c r="A265" s="33"/>
      <c r="C265" s="4"/>
      <c r="E265" s="30"/>
      <c r="J265" s="134"/>
    </row>
    <row r="266" spans="1:10" s="1" customFormat="1" x14ac:dyDescent="0.25">
      <c r="A266" s="33"/>
      <c r="C266" s="4"/>
      <c r="E266" s="30"/>
      <c r="J266" s="134"/>
    </row>
    <row r="267" spans="1:10" s="1" customFormat="1" x14ac:dyDescent="0.25">
      <c r="A267" s="33"/>
      <c r="C267" s="4"/>
      <c r="E267" s="30"/>
      <c r="J267" s="134"/>
    </row>
    <row r="268" spans="1:10" s="1" customFormat="1" x14ac:dyDescent="0.25">
      <c r="A268" s="33"/>
      <c r="C268" s="4"/>
      <c r="E268" s="30"/>
      <c r="J268" s="134"/>
    </row>
    <row r="269" spans="1:10" s="1" customFormat="1" x14ac:dyDescent="0.25">
      <c r="A269" s="33"/>
      <c r="C269" s="4"/>
      <c r="E269" s="30"/>
      <c r="J269" s="134"/>
    </row>
    <row r="270" spans="1:10" s="1" customFormat="1" x14ac:dyDescent="0.25">
      <c r="A270" s="33"/>
      <c r="C270" s="4"/>
      <c r="E270" s="30"/>
      <c r="J270" s="134"/>
    </row>
    <row r="271" spans="1:10" s="1" customFormat="1" x14ac:dyDescent="0.25">
      <c r="A271" s="33"/>
      <c r="C271" s="4"/>
      <c r="E271" s="30"/>
      <c r="J271" s="134"/>
    </row>
    <row r="272" spans="1:10" s="1" customFormat="1" x14ac:dyDescent="0.25">
      <c r="A272" s="33"/>
      <c r="C272" s="4"/>
      <c r="E272" s="30"/>
      <c r="J272" s="134"/>
    </row>
    <row r="273" spans="1:10" s="1" customFormat="1" x14ac:dyDescent="0.25">
      <c r="A273" s="33"/>
      <c r="C273" s="4"/>
      <c r="E273" s="30"/>
      <c r="J273" s="134"/>
    </row>
    <row r="274" spans="1:10" s="1" customFormat="1" x14ac:dyDescent="0.25">
      <c r="A274" s="33"/>
      <c r="C274" s="4"/>
      <c r="E274" s="30"/>
      <c r="J274" s="134"/>
    </row>
    <row r="275" spans="1:10" s="1" customFormat="1" x14ac:dyDescent="0.25">
      <c r="A275" s="33"/>
      <c r="C275" s="4"/>
      <c r="E275" s="30"/>
      <c r="J275" s="134"/>
    </row>
    <row r="276" spans="1:10" s="1" customFormat="1" x14ac:dyDescent="0.25">
      <c r="A276" s="33"/>
      <c r="C276" s="4"/>
      <c r="E276" s="30"/>
      <c r="J276" s="134"/>
    </row>
    <row r="277" spans="1:10" s="1" customFormat="1" x14ac:dyDescent="0.25">
      <c r="A277" s="33"/>
      <c r="C277" s="4"/>
      <c r="E277" s="30"/>
      <c r="J277" s="134"/>
    </row>
    <row r="278" spans="1:10" s="1" customFormat="1" x14ac:dyDescent="0.25">
      <c r="A278" s="33"/>
      <c r="C278" s="4"/>
      <c r="E278" s="30"/>
      <c r="J278" s="134"/>
    </row>
    <row r="279" spans="1:10" s="1" customFormat="1" x14ac:dyDescent="0.25">
      <c r="A279" s="33"/>
      <c r="C279" s="4"/>
      <c r="E279" s="30"/>
      <c r="J279" s="134"/>
    </row>
    <row r="280" spans="1:10" s="1" customFormat="1" x14ac:dyDescent="0.25">
      <c r="A280" s="33"/>
      <c r="C280" s="4"/>
      <c r="E280" s="30"/>
      <c r="J280" s="134"/>
    </row>
    <row r="281" spans="1:10" s="1" customFormat="1" x14ac:dyDescent="0.25">
      <c r="A281" s="33"/>
      <c r="C281" s="4"/>
      <c r="E281" s="30"/>
      <c r="J281" s="134"/>
    </row>
    <row r="282" spans="1:10" s="1" customFormat="1" x14ac:dyDescent="0.25">
      <c r="A282" s="33"/>
      <c r="C282" s="4"/>
      <c r="E282" s="30"/>
      <c r="J282" s="134"/>
    </row>
    <row r="283" spans="1:10" s="1" customFormat="1" x14ac:dyDescent="0.25">
      <c r="A283" s="33"/>
      <c r="C283" s="4"/>
      <c r="E283" s="30"/>
      <c r="J283" s="134"/>
    </row>
    <row r="284" spans="1:10" s="1" customFormat="1" x14ac:dyDescent="0.25">
      <c r="A284" s="33"/>
      <c r="C284" s="4"/>
      <c r="E284" s="30"/>
      <c r="J284" s="134"/>
    </row>
    <row r="285" spans="1:10" s="1" customFormat="1" x14ac:dyDescent="0.25">
      <c r="A285" s="33"/>
      <c r="C285" s="4"/>
      <c r="E285" s="30"/>
      <c r="J285" s="134"/>
    </row>
    <row r="286" spans="1:10" s="1" customFormat="1" x14ac:dyDescent="0.25">
      <c r="A286" s="33"/>
      <c r="C286" s="4"/>
      <c r="E286" s="30"/>
      <c r="J286" s="134"/>
    </row>
    <row r="287" spans="1:10" s="1" customFormat="1" x14ac:dyDescent="0.25">
      <c r="A287" s="33"/>
      <c r="C287" s="4"/>
      <c r="E287" s="30"/>
      <c r="J287" s="134"/>
    </row>
    <row r="288" spans="1:10" s="1" customFormat="1" x14ac:dyDescent="0.25">
      <c r="A288" s="33"/>
      <c r="C288" s="4"/>
      <c r="E288" s="30"/>
      <c r="J288" s="134"/>
    </row>
    <row r="289" spans="1:10" s="1" customFormat="1" x14ac:dyDescent="0.25">
      <c r="A289" s="33"/>
      <c r="C289" s="4"/>
      <c r="E289" s="30"/>
      <c r="J289" s="134"/>
    </row>
    <row r="290" spans="1:10" s="1" customFormat="1" x14ac:dyDescent="0.25">
      <c r="A290" s="33"/>
      <c r="C290" s="4"/>
      <c r="E290" s="30"/>
      <c r="J290" s="134"/>
    </row>
    <row r="291" spans="1:10" s="1" customFormat="1" x14ac:dyDescent="0.25">
      <c r="A291" s="33"/>
      <c r="C291" s="4"/>
      <c r="E291" s="30"/>
      <c r="J291" s="134"/>
    </row>
    <row r="292" spans="1:10" s="1" customFormat="1" x14ac:dyDescent="0.25">
      <c r="A292" s="33"/>
      <c r="C292" s="4"/>
      <c r="E292" s="30"/>
      <c r="J292" s="134"/>
    </row>
    <row r="293" spans="1:10" s="1" customFormat="1" x14ac:dyDescent="0.25">
      <c r="A293" s="33"/>
      <c r="C293" s="4"/>
      <c r="E293" s="30"/>
      <c r="J293" s="134"/>
    </row>
    <row r="294" spans="1:10" s="1" customFormat="1" x14ac:dyDescent="0.25">
      <c r="A294" s="33"/>
      <c r="C294" s="4"/>
      <c r="E294" s="30"/>
      <c r="J294" s="134"/>
    </row>
    <row r="295" spans="1:10" s="1" customFormat="1" x14ac:dyDescent="0.25">
      <c r="A295" s="33"/>
      <c r="C295" s="4"/>
      <c r="E295" s="30"/>
      <c r="J295" s="134"/>
    </row>
    <row r="296" spans="1:10" s="1" customFormat="1" x14ac:dyDescent="0.25">
      <c r="A296" s="33"/>
      <c r="C296" s="4"/>
      <c r="E296" s="30"/>
      <c r="J296" s="134"/>
    </row>
    <row r="297" spans="1:10" s="1" customFormat="1" x14ac:dyDescent="0.25">
      <c r="A297" s="33"/>
      <c r="C297" s="4"/>
      <c r="E297" s="30"/>
      <c r="J297" s="134"/>
    </row>
    <row r="298" spans="1:10" s="1" customFormat="1" x14ac:dyDescent="0.25">
      <c r="A298" s="33"/>
      <c r="C298" s="4"/>
      <c r="E298" s="30"/>
      <c r="J298" s="134"/>
    </row>
    <row r="299" spans="1:10" s="1" customFormat="1" x14ac:dyDescent="0.25">
      <c r="A299" s="33"/>
      <c r="C299" s="4"/>
      <c r="E299" s="30"/>
      <c r="J299" s="134"/>
    </row>
    <row r="300" spans="1:10" s="1" customFormat="1" x14ac:dyDescent="0.25">
      <c r="A300" s="33"/>
      <c r="C300" s="4"/>
      <c r="E300" s="30"/>
      <c r="J300" s="134"/>
    </row>
    <row r="301" spans="1:10" s="1" customFormat="1" x14ac:dyDescent="0.25">
      <c r="A301" s="33"/>
      <c r="C301" s="4"/>
      <c r="E301" s="30"/>
      <c r="J301" s="134"/>
    </row>
    <row r="302" spans="1:10" s="1" customFormat="1" x14ac:dyDescent="0.25">
      <c r="A302" s="33"/>
      <c r="C302" s="4"/>
      <c r="E302" s="30"/>
      <c r="J302" s="134"/>
    </row>
    <row r="303" spans="1:10" s="1" customFormat="1" x14ac:dyDescent="0.25">
      <c r="A303" s="33"/>
      <c r="C303" s="4"/>
      <c r="E303" s="30"/>
      <c r="J303" s="134"/>
    </row>
    <row r="304" spans="1:10" s="1" customFormat="1" x14ac:dyDescent="0.25">
      <c r="A304" s="33"/>
      <c r="C304" s="4"/>
      <c r="E304" s="30"/>
      <c r="J304" s="134"/>
    </row>
    <row r="305" spans="1:10" s="1" customFormat="1" x14ac:dyDescent="0.25">
      <c r="A305" s="33"/>
      <c r="C305" s="4"/>
      <c r="E305" s="30"/>
      <c r="J305" s="134"/>
    </row>
    <row r="306" spans="1:10" s="1" customFormat="1" x14ac:dyDescent="0.25">
      <c r="A306" s="33"/>
      <c r="C306" s="4"/>
      <c r="E306" s="30"/>
      <c r="J306" s="134"/>
    </row>
    <row r="307" spans="1:10" s="1" customFormat="1" x14ac:dyDescent="0.25">
      <c r="A307" s="33"/>
      <c r="C307" s="4"/>
      <c r="E307" s="30"/>
      <c r="J307" s="134"/>
    </row>
    <row r="308" spans="1:10" s="1" customFormat="1" x14ac:dyDescent="0.25">
      <c r="A308" s="33"/>
      <c r="C308" s="4"/>
      <c r="E308" s="30"/>
      <c r="J308" s="134"/>
    </row>
    <row r="309" spans="1:10" s="1" customFormat="1" x14ac:dyDescent="0.25">
      <c r="A309" s="33"/>
      <c r="C309" s="4"/>
      <c r="E309" s="30"/>
      <c r="J309" s="134"/>
    </row>
    <row r="310" spans="1:10" s="1" customFormat="1" x14ac:dyDescent="0.25">
      <c r="A310" s="33"/>
      <c r="C310" s="4"/>
      <c r="E310" s="30"/>
      <c r="J310" s="134"/>
    </row>
    <row r="311" spans="1:10" s="1" customFormat="1" x14ac:dyDescent="0.25">
      <c r="A311" s="33"/>
      <c r="C311" s="4"/>
      <c r="E311" s="30"/>
      <c r="J311" s="134"/>
    </row>
    <row r="312" spans="1:10" s="1" customFormat="1" x14ac:dyDescent="0.25">
      <c r="A312" s="33"/>
      <c r="C312" s="4"/>
      <c r="E312" s="30"/>
      <c r="J312" s="134"/>
    </row>
    <row r="313" spans="1:10" s="1" customFormat="1" x14ac:dyDescent="0.25">
      <c r="A313" s="33"/>
      <c r="C313" s="4"/>
      <c r="E313" s="30"/>
      <c r="J313" s="134"/>
    </row>
    <row r="314" spans="1:10" s="1" customFormat="1" x14ac:dyDescent="0.25">
      <c r="A314" s="33"/>
      <c r="C314" s="4"/>
      <c r="E314" s="30"/>
      <c r="J314" s="134"/>
    </row>
    <row r="315" spans="1:10" s="1" customFormat="1" x14ac:dyDescent="0.25">
      <c r="A315" s="33"/>
      <c r="C315" s="4"/>
      <c r="E315" s="30"/>
      <c r="J315" s="134"/>
    </row>
    <row r="316" spans="1:10" s="1" customFormat="1" x14ac:dyDescent="0.25">
      <c r="A316" s="33"/>
      <c r="C316" s="4"/>
      <c r="E316" s="30"/>
      <c r="J316" s="134"/>
    </row>
    <row r="317" spans="1:10" s="1" customFormat="1" x14ac:dyDescent="0.25">
      <c r="A317" s="33"/>
      <c r="C317" s="4"/>
      <c r="E317" s="30"/>
      <c r="J317" s="134"/>
    </row>
    <row r="318" spans="1:10" s="1" customFormat="1" x14ac:dyDescent="0.25">
      <c r="A318" s="33"/>
      <c r="C318" s="4"/>
      <c r="E318" s="30"/>
      <c r="J318" s="134"/>
    </row>
    <row r="319" spans="1:10" s="1" customFormat="1" x14ac:dyDescent="0.25">
      <c r="A319" s="33"/>
      <c r="C319" s="4"/>
      <c r="E319" s="30"/>
      <c r="J319" s="134"/>
    </row>
    <row r="320" spans="1:10" s="1" customFormat="1" x14ac:dyDescent="0.25">
      <c r="A320" s="33"/>
      <c r="C320" s="4"/>
      <c r="E320" s="30"/>
      <c r="J320" s="134"/>
    </row>
    <row r="321" spans="1:10" s="1" customFormat="1" x14ac:dyDescent="0.25">
      <c r="A321" s="33"/>
      <c r="C321" s="4"/>
      <c r="E321" s="30"/>
      <c r="J321" s="134"/>
    </row>
    <row r="322" spans="1:10" s="1" customFormat="1" x14ac:dyDescent="0.25">
      <c r="A322" s="33"/>
      <c r="C322" s="4"/>
      <c r="E322" s="30"/>
      <c r="J322" s="134"/>
    </row>
    <row r="323" spans="1:10" s="1" customFormat="1" x14ac:dyDescent="0.25">
      <c r="A323" s="33"/>
      <c r="C323" s="4"/>
      <c r="E323" s="30"/>
      <c r="J323" s="134"/>
    </row>
    <row r="324" spans="1:10" s="1" customFormat="1" x14ac:dyDescent="0.25">
      <c r="A324" s="33"/>
      <c r="C324" s="4"/>
      <c r="E324" s="30"/>
      <c r="J324" s="134"/>
    </row>
    <row r="325" spans="1:10" s="1" customFormat="1" x14ac:dyDescent="0.25">
      <c r="A325" s="33"/>
      <c r="C325" s="4"/>
      <c r="E325" s="30"/>
      <c r="J325" s="134"/>
    </row>
    <row r="326" spans="1:10" s="1" customFormat="1" x14ac:dyDescent="0.25">
      <c r="A326" s="33"/>
      <c r="C326" s="4"/>
      <c r="E326" s="30"/>
      <c r="J326" s="134"/>
    </row>
    <row r="327" spans="1:10" s="1" customFormat="1" x14ac:dyDescent="0.25">
      <c r="A327" s="33"/>
      <c r="C327" s="4"/>
      <c r="E327" s="30"/>
      <c r="J327" s="134"/>
    </row>
    <row r="328" spans="1:10" s="1" customFormat="1" x14ac:dyDescent="0.25">
      <c r="A328" s="33"/>
      <c r="C328" s="4"/>
      <c r="E328" s="30"/>
      <c r="J328" s="134"/>
    </row>
    <row r="329" spans="1:10" s="1" customFormat="1" x14ac:dyDescent="0.25">
      <c r="A329" s="33"/>
      <c r="C329" s="4"/>
      <c r="E329" s="30"/>
      <c r="J329" s="134"/>
    </row>
    <row r="330" spans="1:10" s="1" customFormat="1" x14ac:dyDescent="0.25">
      <c r="A330" s="33"/>
      <c r="C330" s="4"/>
      <c r="E330" s="30"/>
      <c r="J330" s="134"/>
    </row>
    <row r="331" spans="1:10" s="1" customFormat="1" x14ac:dyDescent="0.25">
      <c r="A331" s="33"/>
      <c r="C331" s="4"/>
      <c r="E331" s="30"/>
      <c r="J331" s="134"/>
    </row>
    <row r="332" spans="1:10" s="1" customFormat="1" x14ac:dyDescent="0.25">
      <c r="A332" s="33"/>
      <c r="C332" s="4"/>
      <c r="E332" s="30"/>
      <c r="J332" s="134"/>
    </row>
    <row r="333" spans="1:10" s="1" customFormat="1" x14ac:dyDescent="0.25">
      <c r="A333" s="33"/>
      <c r="C333" s="4"/>
      <c r="E333" s="30"/>
      <c r="J333" s="134"/>
    </row>
    <row r="334" spans="1:10" s="1" customFormat="1" x14ac:dyDescent="0.25">
      <c r="A334" s="33"/>
      <c r="C334" s="4"/>
      <c r="E334" s="30"/>
      <c r="J334" s="134"/>
    </row>
    <row r="335" spans="1:10" s="1" customFormat="1" x14ac:dyDescent="0.25">
      <c r="A335" s="33"/>
      <c r="C335" s="4"/>
      <c r="E335" s="30"/>
      <c r="J335" s="134"/>
    </row>
    <row r="336" spans="1:10" s="1" customFormat="1" x14ac:dyDescent="0.25">
      <c r="A336" s="33"/>
      <c r="C336" s="4"/>
      <c r="E336" s="30"/>
      <c r="J336" s="134"/>
    </row>
    <row r="337" spans="1:10" s="1" customFormat="1" x14ac:dyDescent="0.25">
      <c r="A337" s="33"/>
      <c r="C337" s="4"/>
      <c r="E337" s="30"/>
      <c r="J337" s="134"/>
    </row>
    <row r="338" spans="1:10" s="1" customFormat="1" x14ac:dyDescent="0.25">
      <c r="A338" s="33"/>
      <c r="C338" s="4"/>
      <c r="E338" s="30"/>
      <c r="J338" s="134"/>
    </row>
    <row r="339" spans="1:10" s="1" customFormat="1" x14ac:dyDescent="0.25">
      <c r="A339" s="33"/>
      <c r="C339" s="4"/>
      <c r="E339" s="30"/>
      <c r="J339" s="134"/>
    </row>
    <row r="340" spans="1:10" s="1" customFormat="1" x14ac:dyDescent="0.25">
      <c r="A340" s="33"/>
      <c r="C340" s="4"/>
      <c r="E340" s="30"/>
      <c r="J340" s="134"/>
    </row>
    <row r="341" spans="1:10" s="1" customFormat="1" x14ac:dyDescent="0.25">
      <c r="A341" s="33"/>
      <c r="C341" s="4"/>
      <c r="E341" s="30"/>
      <c r="J341" s="134"/>
    </row>
    <row r="342" spans="1:10" s="1" customFormat="1" x14ac:dyDescent="0.25">
      <c r="A342" s="33"/>
      <c r="C342" s="4"/>
      <c r="E342" s="30"/>
      <c r="J342" s="134"/>
    </row>
    <row r="343" spans="1:10" s="1" customFormat="1" x14ac:dyDescent="0.25">
      <c r="A343" s="33"/>
      <c r="C343" s="4"/>
      <c r="E343" s="30"/>
      <c r="J343" s="134"/>
    </row>
    <row r="344" spans="1:10" s="1" customFormat="1" x14ac:dyDescent="0.25">
      <c r="A344" s="33"/>
      <c r="C344" s="4"/>
      <c r="E344" s="30"/>
      <c r="J344" s="134"/>
    </row>
    <row r="345" spans="1:10" s="1" customFormat="1" x14ac:dyDescent="0.25">
      <c r="A345" s="33"/>
      <c r="C345" s="4"/>
      <c r="E345" s="30"/>
      <c r="J345" s="134"/>
    </row>
    <row r="346" spans="1:10" s="1" customFormat="1" x14ac:dyDescent="0.25">
      <c r="A346" s="33"/>
      <c r="C346" s="4"/>
      <c r="E346" s="30"/>
      <c r="J346" s="134"/>
    </row>
    <row r="347" spans="1:10" s="1" customFormat="1" x14ac:dyDescent="0.25">
      <c r="A347" s="33"/>
      <c r="C347" s="4"/>
      <c r="E347" s="30"/>
      <c r="J347" s="134"/>
    </row>
    <row r="348" spans="1:10" s="1" customFormat="1" x14ac:dyDescent="0.25">
      <c r="A348" s="33"/>
      <c r="C348" s="4"/>
      <c r="E348" s="30"/>
      <c r="J348" s="134"/>
    </row>
    <row r="349" spans="1:10" s="1" customFormat="1" x14ac:dyDescent="0.25">
      <c r="A349" s="33"/>
      <c r="C349" s="4"/>
      <c r="E349" s="30"/>
      <c r="J349" s="134"/>
    </row>
    <row r="350" spans="1:10" s="1" customFormat="1" x14ac:dyDescent="0.25">
      <c r="A350" s="33"/>
      <c r="C350" s="4"/>
      <c r="E350" s="30"/>
      <c r="J350" s="134"/>
    </row>
    <row r="351" spans="1:10" s="1" customFormat="1" x14ac:dyDescent="0.25">
      <c r="A351" s="33"/>
      <c r="C351" s="4"/>
      <c r="E351" s="30"/>
      <c r="J351" s="134"/>
    </row>
    <row r="352" spans="1:10" s="1" customFormat="1" x14ac:dyDescent="0.25">
      <c r="A352" s="33"/>
      <c r="C352" s="4"/>
      <c r="E352" s="30"/>
      <c r="J352" s="134"/>
    </row>
    <row r="353" spans="1:10" s="1" customFormat="1" x14ac:dyDescent="0.25">
      <c r="A353" s="33"/>
      <c r="C353" s="4"/>
      <c r="E353" s="30"/>
      <c r="J353" s="134"/>
    </row>
    <row r="354" spans="1:10" s="1" customFormat="1" x14ac:dyDescent="0.25">
      <c r="A354" s="33"/>
      <c r="C354" s="4"/>
      <c r="E354" s="30"/>
      <c r="J354" s="134"/>
    </row>
    <row r="355" spans="1:10" s="1" customFormat="1" x14ac:dyDescent="0.25">
      <c r="A355" s="33"/>
      <c r="C355" s="4"/>
      <c r="E355" s="30"/>
      <c r="J355" s="134"/>
    </row>
    <row r="356" spans="1:10" s="1" customFormat="1" x14ac:dyDescent="0.25">
      <c r="A356" s="33"/>
      <c r="C356" s="4"/>
      <c r="E356" s="30"/>
      <c r="J356" s="134"/>
    </row>
    <row r="357" spans="1:10" s="1" customFormat="1" x14ac:dyDescent="0.25">
      <c r="A357" s="33"/>
      <c r="C357" s="4"/>
      <c r="E357" s="30"/>
      <c r="J357" s="134"/>
    </row>
    <row r="358" spans="1:10" s="1" customFormat="1" x14ac:dyDescent="0.25">
      <c r="A358" s="33"/>
      <c r="C358" s="4"/>
      <c r="E358" s="30"/>
      <c r="J358" s="134"/>
    </row>
    <row r="359" spans="1:10" s="1" customFormat="1" x14ac:dyDescent="0.25">
      <c r="A359" s="33"/>
      <c r="C359" s="4"/>
      <c r="E359" s="30"/>
      <c r="J359" s="134"/>
    </row>
    <row r="360" spans="1:10" s="1" customFormat="1" x14ac:dyDescent="0.25">
      <c r="A360" s="33"/>
      <c r="C360" s="4"/>
      <c r="E360" s="30"/>
      <c r="J360" s="134"/>
    </row>
    <row r="361" spans="1:10" s="1" customFormat="1" x14ac:dyDescent="0.25">
      <c r="A361" s="33"/>
      <c r="C361" s="4"/>
      <c r="E361" s="30"/>
      <c r="J361" s="134"/>
    </row>
    <row r="362" spans="1:10" s="1" customFormat="1" x14ac:dyDescent="0.25">
      <c r="A362" s="33"/>
      <c r="C362" s="4"/>
      <c r="E362" s="30"/>
      <c r="J362" s="134"/>
    </row>
    <row r="363" spans="1:10" s="1" customFormat="1" x14ac:dyDescent="0.25">
      <c r="A363" s="33"/>
      <c r="C363" s="4"/>
      <c r="E363" s="30"/>
      <c r="J363" s="134"/>
    </row>
    <row r="364" spans="1:10" s="1" customFormat="1" x14ac:dyDescent="0.25">
      <c r="A364" s="33"/>
      <c r="C364" s="4"/>
      <c r="E364" s="30"/>
      <c r="J364" s="134"/>
    </row>
    <row r="365" spans="1:10" s="1" customFormat="1" x14ac:dyDescent="0.25">
      <c r="A365" s="33"/>
      <c r="C365" s="4"/>
      <c r="E365" s="30"/>
      <c r="J365" s="134"/>
    </row>
    <row r="366" spans="1:10" s="1" customFormat="1" x14ac:dyDescent="0.25">
      <c r="A366" s="33"/>
      <c r="C366" s="4"/>
      <c r="E366" s="30"/>
      <c r="J366" s="134"/>
    </row>
    <row r="367" spans="1:10" s="1" customFormat="1" x14ac:dyDescent="0.25">
      <c r="A367" s="33"/>
      <c r="C367" s="4"/>
      <c r="E367" s="30"/>
      <c r="J367" s="134"/>
    </row>
    <row r="368" spans="1:10" s="1" customFormat="1" x14ac:dyDescent="0.25">
      <c r="A368" s="33"/>
      <c r="C368" s="4"/>
      <c r="E368" s="30"/>
      <c r="J368" s="134"/>
    </row>
    <row r="369" spans="1:10" s="1" customFormat="1" x14ac:dyDescent="0.25">
      <c r="A369" s="33"/>
      <c r="C369" s="4"/>
      <c r="E369" s="30"/>
      <c r="J369" s="134"/>
    </row>
    <row r="370" spans="1:10" s="1" customFormat="1" x14ac:dyDescent="0.25">
      <c r="A370" s="33"/>
      <c r="C370" s="4"/>
      <c r="E370" s="30"/>
      <c r="J370" s="134"/>
    </row>
    <row r="371" spans="1:10" s="1" customFormat="1" x14ac:dyDescent="0.25">
      <c r="A371" s="33"/>
      <c r="C371" s="4"/>
      <c r="E371" s="30"/>
      <c r="J371" s="134"/>
    </row>
    <row r="372" spans="1:10" s="1" customFormat="1" x14ac:dyDescent="0.25">
      <c r="A372" s="33"/>
      <c r="C372" s="4"/>
      <c r="E372" s="30"/>
      <c r="J372" s="134"/>
    </row>
    <row r="373" spans="1:10" s="1" customFormat="1" x14ac:dyDescent="0.25">
      <c r="A373" s="33"/>
      <c r="C373" s="4"/>
      <c r="E373" s="30"/>
      <c r="J373" s="134"/>
    </row>
    <row r="374" spans="1:10" s="1" customFormat="1" x14ac:dyDescent="0.25">
      <c r="A374" s="33"/>
      <c r="C374" s="4"/>
      <c r="E374" s="30"/>
      <c r="J374" s="134"/>
    </row>
    <row r="375" spans="1:10" s="1" customFormat="1" x14ac:dyDescent="0.25">
      <c r="A375" s="33"/>
      <c r="C375" s="4"/>
      <c r="E375" s="30"/>
      <c r="J375" s="134"/>
    </row>
    <row r="376" spans="1:10" s="1" customFormat="1" x14ac:dyDescent="0.25">
      <c r="A376" s="33"/>
      <c r="C376" s="4"/>
      <c r="E376" s="30"/>
      <c r="J376" s="134"/>
    </row>
    <row r="377" spans="1:10" s="1" customFormat="1" x14ac:dyDescent="0.25">
      <c r="A377" s="33"/>
      <c r="C377" s="4"/>
      <c r="E377" s="30"/>
      <c r="J377" s="134"/>
    </row>
    <row r="378" spans="1:10" s="1" customFormat="1" x14ac:dyDescent="0.25">
      <c r="A378" s="33"/>
      <c r="C378" s="4"/>
      <c r="E378" s="30"/>
      <c r="J378" s="134"/>
    </row>
    <row r="379" spans="1:10" s="1" customFormat="1" x14ac:dyDescent="0.25">
      <c r="A379" s="33"/>
      <c r="C379" s="4"/>
      <c r="E379" s="30"/>
      <c r="J379" s="134"/>
    </row>
    <row r="380" spans="1:10" s="1" customFormat="1" x14ac:dyDescent="0.25">
      <c r="A380" s="33"/>
      <c r="C380" s="4"/>
      <c r="E380" s="30"/>
      <c r="J380" s="134"/>
    </row>
    <row r="381" spans="1:10" s="1" customFormat="1" x14ac:dyDescent="0.25">
      <c r="A381" s="33"/>
      <c r="C381" s="4"/>
      <c r="E381" s="30"/>
      <c r="J381" s="134"/>
    </row>
    <row r="382" spans="1:10" s="1" customFormat="1" x14ac:dyDescent="0.25">
      <c r="A382" s="33"/>
      <c r="C382" s="4"/>
      <c r="E382" s="30"/>
      <c r="J382" s="134"/>
    </row>
    <row r="383" spans="1:10" s="1" customFormat="1" x14ac:dyDescent="0.25">
      <c r="A383" s="33"/>
      <c r="C383" s="4"/>
      <c r="E383" s="30"/>
      <c r="J383" s="134"/>
    </row>
    <row r="384" spans="1:10" s="1" customFormat="1" x14ac:dyDescent="0.25">
      <c r="A384" s="33"/>
      <c r="C384" s="4"/>
      <c r="E384" s="30"/>
      <c r="J384" s="134"/>
    </row>
    <row r="385" spans="1:10" s="1" customFormat="1" x14ac:dyDescent="0.25">
      <c r="A385" s="33"/>
      <c r="C385" s="4"/>
      <c r="E385" s="30"/>
      <c r="J385" s="134"/>
    </row>
    <row r="386" spans="1:10" s="1" customFormat="1" x14ac:dyDescent="0.25">
      <c r="A386" s="33"/>
      <c r="C386" s="4"/>
      <c r="E386" s="30"/>
      <c r="J386" s="134"/>
    </row>
    <row r="387" spans="1:10" s="1" customFormat="1" x14ac:dyDescent="0.25">
      <c r="A387" s="33"/>
      <c r="C387" s="4"/>
      <c r="E387" s="30"/>
      <c r="J387" s="134"/>
    </row>
    <row r="388" spans="1:10" s="1" customFormat="1" x14ac:dyDescent="0.25">
      <c r="A388" s="33"/>
      <c r="C388" s="4"/>
      <c r="E388" s="30"/>
      <c r="J388" s="134"/>
    </row>
    <row r="389" spans="1:10" s="1" customFormat="1" x14ac:dyDescent="0.25">
      <c r="A389" s="33"/>
      <c r="C389" s="4"/>
      <c r="E389" s="30"/>
      <c r="J389" s="134"/>
    </row>
    <row r="390" spans="1:10" s="1" customFormat="1" x14ac:dyDescent="0.25">
      <c r="A390" s="33"/>
      <c r="C390" s="4"/>
      <c r="E390" s="30"/>
      <c r="J390" s="134"/>
    </row>
    <row r="391" spans="1:10" s="1" customFormat="1" x14ac:dyDescent="0.25">
      <c r="A391" s="33"/>
      <c r="C391" s="4"/>
      <c r="E391" s="30"/>
      <c r="J391" s="134"/>
    </row>
    <row r="392" spans="1:10" s="1" customFormat="1" x14ac:dyDescent="0.25">
      <c r="A392" s="33"/>
      <c r="C392" s="4"/>
      <c r="E392" s="30"/>
      <c r="J392" s="134"/>
    </row>
    <row r="393" spans="1:10" s="1" customFormat="1" x14ac:dyDescent="0.25">
      <c r="A393" s="33"/>
      <c r="C393" s="4"/>
      <c r="E393" s="30"/>
      <c r="J393" s="134"/>
    </row>
    <row r="394" spans="1:10" s="1" customFormat="1" x14ac:dyDescent="0.25">
      <c r="A394" s="33"/>
      <c r="C394" s="4"/>
      <c r="E394" s="30"/>
      <c r="J394" s="134"/>
    </row>
    <row r="395" spans="1:10" s="1" customFormat="1" x14ac:dyDescent="0.25">
      <c r="A395" s="33"/>
      <c r="C395" s="4"/>
      <c r="E395" s="30"/>
      <c r="J395" s="134"/>
    </row>
    <row r="396" spans="1:10" s="1" customFormat="1" x14ac:dyDescent="0.25">
      <c r="A396" s="33"/>
      <c r="C396" s="4"/>
      <c r="E396" s="30"/>
      <c r="J396" s="134"/>
    </row>
    <row r="397" spans="1:10" s="1" customFormat="1" x14ac:dyDescent="0.25">
      <c r="A397" s="33"/>
      <c r="C397" s="4"/>
      <c r="E397" s="30"/>
      <c r="J397" s="134"/>
    </row>
    <row r="398" spans="1:10" s="1" customFormat="1" x14ac:dyDescent="0.25">
      <c r="A398" s="33"/>
      <c r="C398" s="4"/>
      <c r="E398" s="30"/>
      <c r="J398" s="134"/>
    </row>
    <row r="399" spans="1:10" s="1" customFormat="1" x14ac:dyDescent="0.25">
      <c r="A399" s="33"/>
      <c r="C399" s="4"/>
      <c r="E399" s="30"/>
      <c r="J399" s="134"/>
    </row>
    <row r="400" spans="1:10" s="1" customFormat="1" x14ac:dyDescent="0.25">
      <c r="A400" s="33"/>
      <c r="C400" s="4"/>
      <c r="E400" s="30"/>
      <c r="J400" s="134"/>
    </row>
    <row r="401" spans="1:10" s="1" customFormat="1" x14ac:dyDescent="0.25">
      <c r="A401" s="33"/>
      <c r="C401" s="4"/>
      <c r="E401" s="30"/>
      <c r="J401" s="134"/>
    </row>
    <row r="402" spans="1:10" s="1" customFormat="1" x14ac:dyDescent="0.25">
      <c r="A402" s="33"/>
      <c r="C402" s="4"/>
      <c r="E402" s="30"/>
      <c r="J402" s="134"/>
    </row>
    <row r="403" spans="1:10" s="1" customFormat="1" x14ac:dyDescent="0.25">
      <c r="A403" s="33"/>
      <c r="C403" s="4"/>
      <c r="E403" s="30"/>
      <c r="J403" s="134"/>
    </row>
    <row r="404" spans="1:10" s="1" customFormat="1" x14ac:dyDescent="0.25">
      <c r="A404" s="33"/>
      <c r="C404" s="4"/>
      <c r="E404" s="30"/>
      <c r="J404" s="134"/>
    </row>
    <row r="405" spans="1:10" s="1" customFormat="1" x14ac:dyDescent="0.25">
      <c r="A405" s="33"/>
      <c r="C405" s="4"/>
      <c r="E405" s="30"/>
      <c r="J405" s="134"/>
    </row>
    <row r="406" spans="1:10" s="1" customFormat="1" x14ac:dyDescent="0.25">
      <c r="A406" s="33"/>
      <c r="C406" s="4"/>
      <c r="E406" s="30"/>
      <c r="J406" s="134"/>
    </row>
    <row r="407" spans="1:10" s="1" customFormat="1" x14ac:dyDescent="0.25">
      <c r="A407" s="33"/>
      <c r="C407" s="4"/>
      <c r="E407" s="30"/>
      <c r="J407" s="134"/>
    </row>
    <row r="408" spans="1:10" s="1" customFormat="1" x14ac:dyDescent="0.25">
      <c r="A408" s="33"/>
      <c r="C408" s="4"/>
      <c r="E408" s="30"/>
      <c r="J408" s="134"/>
    </row>
    <row r="409" spans="1:10" s="1" customFormat="1" x14ac:dyDescent="0.25">
      <c r="A409" s="33"/>
      <c r="C409" s="4"/>
      <c r="E409" s="30"/>
      <c r="J409" s="134"/>
    </row>
    <row r="410" spans="1:10" s="1" customFormat="1" x14ac:dyDescent="0.25">
      <c r="A410" s="33"/>
      <c r="C410" s="4"/>
      <c r="E410" s="30"/>
      <c r="J410" s="134"/>
    </row>
    <row r="411" spans="1:10" s="1" customFormat="1" x14ac:dyDescent="0.25">
      <c r="A411" s="33"/>
      <c r="C411" s="4"/>
      <c r="E411" s="30"/>
      <c r="J411" s="134"/>
    </row>
    <row r="412" spans="1:10" s="1" customFormat="1" x14ac:dyDescent="0.25">
      <c r="A412" s="33"/>
      <c r="C412" s="4"/>
      <c r="E412" s="30"/>
      <c r="J412" s="134"/>
    </row>
    <row r="413" spans="1:10" s="1" customFormat="1" x14ac:dyDescent="0.25">
      <c r="A413" s="33"/>
      <c r="C413" s="4"/>
      <c r="E413" s="30"/>
      <c r="J413" s="134"/>
    </row>
    <row r="414" spans="1:10" s="1" customFormat="1" x14ac:dyDescent="0.25">
      <c r="A414" s="33"/>
      <c r="C414" s="4"/>
      <c r="E414" s="30"/>
      <c r="J414" s="134"/>
    </row>
    <row r="415" spans="1:10" s="1" customFormat="1" x14ac:dyDescent="0.25">
      <c r="A415" s="33"/>
      <c r="C415" s="4"/>
      <c r="E415" s="30"/>
      <c r="J415" s="134"/>
    </row>
    <row r="416" spans="1:10" s="1" customFormat="1" x14ac:dyDescent="0.25">
      <c r="A416" s="33"/>
      <c r="C416" s="4"/>
      <c r="E416" s="30"/>
      <c r="J416" s="134"/>
    </row>
    <row r="417" spans="1:10" s="1" customFormat="1" x14ac:dyDescent="0.25">
      <c r="A417" s="33"/>
      <c r="C417" s="4"/>
      <c r="E417" s="30"/>
      <c r="J417" s="134"/>
    </row>
    <row r="418" spans="1:10" s="1" customFormat="1" x14ac:dyDescent="0.25">
      <c r="A418" s="33"/>
      <c r="C418" s="4"/>
      <c r="E418" s="30"/>
      <c r="J418" s="134"/>
    </row>
    <row r="419" spans="1:10" s="1" customFormat="1" x14ac:dyDescent="0.25">
      <c r="A419" s="33"/>
      <c r="C419" s="4"/>
      <c r="E419" s="30"/>
      <c r="J419" s="134"/>
    </row>
    <row r="420" spans="1:10" s="1" customFormat="1" x14ac:dyDescent="0.25">
      <c r="A420" s="33"/>
      <c r="C420" s="4"/>
      <c r="E420" s="30"/>
      <c r="J420" s="134"/>
    </row>
    <row r="421" spans="1:10" s="1" customFormat="1" x14ac:dyDescent="0.25">
      <c r="A421" s="33"/>
      <c r="C421" s="4"/>
      <c r="E421" s="30"/>
      <c r="J421" s="134"/>
    </row>
    <row r="422" spans="1:10" s="1" customFormat="1" x14ac:dyDescent="0.25">
      <c r="A422" s="33"/>
      <c r="C422" s="4"/>
      <c r="E422" s="30"/>
      <c r="J422" s="134"/>
    </row>
    <row r="423" spans="1:10" s="1" customFormat="1" x14ac:dyDescent="0.25">
      <c r="A423" s="33"/>
      <c r="C423" s="4"/>
      <c r="E423" s="30"/>
      <c r="J423" s="134"/>
    </row>
    <row r="424" spans="1:10" s="1" customFormat="1" x14ac:dyDescent="0.25">
      <c r="A424" s="33"/>
      <c r="C424" s="4"/>
      <c r="E424" s="30"/>
      <c r="J424" s="134"/>
    </row>
    <row r="425" spans="1:10" s="1" customFormat="1" x14ac:dyDescent="0.25">
      <c r="A425" s="33"/>
      <c r="C425" s="4"/>
      <c r="E425" s="30"/>
      <c r="J425" s="134"/>
    </row>
    <row r="426" spans="1:10" s="1" customFormat="1" x14ac:dyDescent="0.25">
      <c r="A426" s="33"/>
      <c r="C426" s="4"/>
      <c r="E426" s="30"/>
      <c r="J426" s="134"/>
    </row>
    <row r="427" spans="1:10" s="1" customFormat="1" x14ac:dyDescent="0.25">
      <c r="A427" s="33"/>
      <c r="C427" s="4"/>
      <c r="E427" s="30"/>
      <c r="J427" s="134"/>
    </row>
    <row r="428" spans="1:10" s="1" customFormat="1" x14ac:dyDescent="0.25">
      <c r="A428" s="33"/>
      <c r="C428" s="4"/>
      <c r="E428" s="30"/>
      <c r="J428" s="134"/>
    </row>
    <row r="429" spans="1:10" s="1" customFormat="1" x14ac:dyDescent="0.25">
      <c r="A429" s="33"/>
      <c r="C429" s="4"/>
      <c r="E429" s="30"/>
      <c r="J429" s="134"/>
    </row>
    <row r="430" spans="1:10" s="1" customFormat="1" x14ac:dyDescent="0.25">
      <c r="A430" s="33"/>
      <c r="C430" s="4"/>
      <c r="E430" s="30"/>
      <c r="J430" s="134"/>
    </row>
    <row r="431" spans="1:10" s="1" customFormat="1" x14ac:dyDescent="0.25">
      <c r="A431" s="33"/>
      <c r="C431" s="4"/>
      <c r="E431" s="30"/>
      <c r="J431" s="134"/>
    </row>
    <row r="432" spans="1:10" s="1" customFormat="1" x14ac:dyDescent="0.25">
      <c r="A432" s="33"/>
      <c r="C432" s="4"/>
      <c r="E432" s="30"/>
      <c r="J432" s="134"/>
    </row>
    <row r="433" spans="1:10" s="1" customFormat="1" x14ac:dyDescent="0.25">
      <c r="A433" s="33"/>
      <c r="C433" s="4"/>
      <c r="E433" s="30"/>
      <c r="J433" s="134"/>
    </row>
    <row r="434" spans="1:10" s="1" customFormat="1" x14ac:dyDescent="0.25">
      <c r="A434" s="33"/>
      <c r="C434" s="4"/>
      <c r="E434" s="30"/>
      <c r="J434" s="134"/>
    </row>
    <row r="435" spans="1:10" s="1" customFormat="1" x14ac:dyDescent="0.25">
      <c r="A435" s="33"/>
      <c r="C435" s="4"/>
      <c r="E435" s="30"/>
      <c r="J435" s="134"/>
    </row>
    <row r="436" spans="1:10" s="1" customFormat="1" x14ac:dyDescent="0.25">
      <c r="A436" s="33"/>
      <c r="C436" s="4"/>
      <c r="E436" s="30"/>
      <c r="J436" s="134"/>
    </row>
    <row r="437" spans="1:10" s="1" customFormat="1" x14ac:dyDescent="0.25">
      <c r="A437" s="33"/>
      <c r="C437" s="4"/>
      <c r="E437" s="30"/>
      <c r="J437" s="134"/>
    </row>
    <row r="438" spans="1:10" s="1" customFormat="1" x14ac:dyDescent="0.25">
      <c r="A438" s="33"/>
      <c r="C438" s="4"/>
      <c r="E438" s="30"/>
      <c r="J438" s="134"/>
    </row>
    <row r="439" spans="1:10" s="1" customFormat="1" x14ac:dyDescent="0.25">
      <c r="A439" s="33"/>
      <c r="C439" s="4"/>
      <c r="E439" s="30"/>
      <c r="J439" s="134"/>
    </row>
    <row r="440" spans="1:10" s="1" customFormat="1" x14ac:dyDescent="0.25">
      <c r="A440" s="33"/>
      <c r="C440" s="4"/>
      <c r="E440" s="30"/>
      <c r="J440" s="134"/>
    </row>
    <row r="441" spans="1:10" s="1" customFormat="1" x14ac:dyDescent="0.25">
      <c r="A441" s="33"/>
      <c r="C441" s="4"/>
      <c r="E441" s="30"/>
      <c r="J441" s="134"/>
    </row>
    <row r="442" spans="1:10" s="1" customFormat="1" x14ac:dyDescent="0.25">
      <c r="A442" s="33"/>
      <c r="C442" s="4"/>
      <c r="E442" s="30"/>
      <c r="J442" s="134"/>
    </row>
    <row r="443" spans="1:10" s="1" customFormat="1" x14ac:dyDescent="0.25">
      <c r="A443" s="33"/>
      <c r="C443" s="4"/>
      <c r="E443" s="30"/>
      <c r="J443" s="134"/>
    </row>
    <row r="444" spans="1:10" s="1" customFormat="1" x14ac:dyDescent="0.25">
      <c r="A444" s="33"/>
      <c r="C444" s="4"/>
      <c r="E444" s="30"/>
      <c r="J444" s="134"/>
    </row>
    <row r="445" spans="1:10" s="1" customFormat="1" x14ac:dyDescent="0.25">
      <c r="A445" s="33"/>
      <c r="C445" s="4"/>
      <c r="E445" s="30"/>
      <c r="J445" s="134"/>
    </row>
    <row r="446" spans="1:10" s="1" customFormat="1" x14ac:dyDescent="0.25">
      <c r="A446" s="33"/>
      <c r="C446" s="4"/>
      <c r="E446" s="30"/>
      <c r="J446" s="134"/>
    </row>
    <row r="447" spans="1:10" s="1" customFormat="1" x14ac:dyDescent="0.25">
      <c r="A447" s="33"/>
      <c r="C447" s="4"/>
      <c r="E447" s="30"/>
      <c r="J447" s="134"/>
    </row>
    <row r="448" spans="1:10" s="1" customFormat="1" x14ac:dyDescent="0.25">
      <c r="A448" s="33"/>
      <c r="C448" s="4"/>
      <c r="E448" s="30"/>
      <c r="J448" s="134"/>
    </row>
    <row r="449" spans="1:10" s="1" customFormat="1" x14ac:dyDescent="0.25">
      <c r="A449" s="33"/>
      <c r="C449" s="4"/>
      <c r="E449" s="30"/>
      <c r="J449" s="134"/>
    </row>
    <row r="450" spans="1:10" s="1" customFormat="1" x14ac:dyDescent="0.25">
      <c r="A450" s="33"/>
      <c r="C450" s="4"/>
      <c r="E450" s="30"/>
      <c r="J450" s="134"/>
    </row>
    <row r="451" spans="1:10" s="1" customFormat="1" x14ac:dyDescent="0.25">
      <c r="A451" s="33"/>
      <c r="C451" s="4"/>
      <c r="E451" s="30"/>
      <c r="J451" s="134"/>
    </row>
    <row r="452" spans="1:10" s="1" customFormat="1" x14ac:dyDescent="0.25">
      <c r="A452" s="33"/>
      <c r="C452" s="4"/>
      <c r="E452" s="30"/>
      <c r="J452" s="134"/>
    </row>
    <row r="453" spans="1:10" s="1" customFormat="1" x14ac:dyDescent="0.25">
      <c r="A453" s="33"/>
      <c r="C453" s="4"/>
      <c r="E453" s="30"/>
      <c r="J453" s="134"/>
    </row>
    <row r="454" spans="1:10" s="1" customFormat="1" x14ac:dyDescent="0.25">
      <c r="A454" s="33"/>
      <c r="C454" s="4"/>
      <c r="E454" s="30"/>
      <c r="J454" s="134"/>
    </row>
    <row r="455" spans="1:10" s="1" customFormat="1" x14ac:dyDescent="0.25">
      <c r="A455" s="33"/>
      <c r="C455" s="4"/>
      <c r="E455" s="30"/>
      <c r="J455" s="134"/>
    </row>
    <row r="456" spans="1:10" s="1" customFormat="1" x14ac:dyDescent="0.25">
      <c r="A456" s="33"/>
      <c r="C456" s="4"/>
      <c r="E456" s="30"/>
      <c r="J456" s="134"/>
    </row>
    <row r="457" spans="1:10" s="1" customFormat="1" x14ac:dyDescent="0.25">
      <c r="A457" s="33"/>
      <c r="C457" s="4"/>
      <c r="E457" s="30"/>
      <c r="J457" s="134"/>
    </row>
    <row r="458" spans="1:10" s="1" customFormat="1" x14ac:dyDescent="0.25">
      <c r="A458" s="33"/>
      <c r="C458" s="4"/>
      <c r="E458" s="30"/>
      <c r="J458" s="134"/>
    </row>
    <row r="459" spans="1:10" s="1" customFormat="1" x14ac:dyDescent="0.25">
      <c r="A459" s="33"/>
      <c r="C459" s="4"/>
      <c r="E459" s="30"/>
      <c r="J459" s="134"/>
    </row>
    <row r="460" spans="1:10" s="1" customFormat="1" x14ac:dyDescent="0.25">
      <c r="A460" s="33"/>
      <c r="C460" s="4"/>
      <c r="E460" s="30"/>
      <c r="J460" s="134"/>
    </row>
    <row r="461" spans="1:10" s="1" customFormat="1" x14ac:dyDescent="0.25">
      <c r="A461" s="33"/>
      <c r="C461" s="4"/>
      <c r="E461" s="30"/>
      <c r="J461" s="134"/>
    </row>
    <row r="462" spans="1:10" s="1" customFormat="1" x14ac:dyDescent="0.25">
      <c r="A462" s="33"/>
      <c r="C462" s="4"/>
      <c r="E462" s="30"/>
      <c r="J462" s="134"/>
    </row>
    <row r="463" spans="1:10" s="1" customFormat="1" x14ac:dyDescent="0.25">
      <c r="A463" s="33"/>
      <c r="C463" s="4"/>
      <c r="E463" s="30"/>
      <c r="J463" s="134"/>
    </row>
    <row r="464" spans="1:10" s="1" customFormat="1" x14ac:dyDescent="0.25">
      <c r="A464" s="33"/>
      <c r="C464" s="4"/>
      <c r="E464" s="30"/>
      <c r="J464" s="134"/>
    </row>
    <row r="465" spans="1:10" s="1" customFormat="1" x14ac:dyDescent="0.25">
      <c r="A465" s="33"/>
      <c r="C465" s="4"/>
      <c r="E465" s="30"/>
      <c r="J465" s="134"/>
    </row>
    <row r="466" spans="1:10" s="1" customFormat="1" x14ac:dyDescent="0.25">
      <c r="A466" s="33"/>
      <c r="C466" s="4"/>
      <c r="E466" s="30"/>
      <c r="J466" s="134"/>
    </row>
    <row r="467" spans="1:10" s="1" customFormat="1" x14ac:dyDescent="0.25">
      <c r="A467" s="33"/>
      <c r="C467" s="4"/>
      <c r="E467" s="30"/>
      <c r="J467" s="134"/>
    </row>
    <row r="468" spans="1:10" s="1" customFormat="1" x14ac:dyDescent="0.25">
      <c r="A468" s="33"/>
      <c r="C468" s="4"/>
      <c r="E468" s="30"/>
      <c r="J468" s="134"/>
    </row>
    <row r="469" spans="1:10" s="1" customFormat="1" x14ac:dyDescent="0.25">
      <c r="A469" s="33"/>
      <c r="C469" s="4"/>
      <c r="E469" s="30"/>
      <c r="J469" s="134"/>
    </row>
    <row r="470" spans="1:10" s="1" customFormat="1" x14ac:dyDescent="0.25">
      <c r="A470" s="33"/>
      <c r="C470" s="4"/>
      <c r="E470" s="30"/>
      <c r="J470" s="134"/>
    </row>
    <row r="471" spans="1:10" s="1" customFormat="1" x14ac:dyDescent="0.25">
      <c r="A471" s="33"/>
      <c r="C471" s="4"/>
      <c r="E471" s="30"/>
      <c r="J471" s="134"/>
    </row>
    <row r="472" spans="1:10" s="1" customFormat="1" x14ac:dyDescent="0.25">
      <c r="A472" s="33"/>
      <c r="C472" s="4"/>
      <c r="E472" s="30"/>
      <c r="J472" s="134"/>
    </row>
    <row r="473" spans="1:10" s="1" customFormat="1" x14ac:dyDescent="0.25">
      <c r="A473" s="33"/>
      <c r="C473" s="4"/>
      <c r="E473" s="30"/>
      <c r="J473" s="134"/>
    </row>
    <row r="474" spans="1:10" s="1" customFormat="1" x14ac:dyDescent="0.25">
      <c r="A474" s="33"/>
      <c r="C474" s="4"/>
      <c r="E474" s="30"/>
      <c r="J474" s="134"/>
    </row>
    <row r="475" spans="1:10" s="1" customFormat="1" x14ac:dyDescent="0.25">
      <c r="A475" s="33"/>
      <c r="C475" s="4"/>
      <c r="E475" s="30"/>
      <c r="J475" s="134"/>
    </row>
    <row r="476" spans="1:10" s="1" customFormat="1" x14ac:dyDescent="0.25">
      <c r="A476" s="33"/>
      <c r="C476" s="4"/>
      <c r="E476" s="30"/>
      <c r="J476" s="134"/>
    </row>
    <row r="477" spans="1:10" s="1" customFormat="1" x14ac:dyDescent="0.25">
      <c r="A477" s="33"/>
      <c r="C477" s="4"/>
      <c r="E477" s="30"/>
      <c r="J477" s="134"/>
    </row>
    <row r="478" spans="1:10" s="1" customFormat="1" x14ac:dyDescent="0.25">
      <c r="A478" s="33"/>
      <c r="C478" s="4"/>
      <c r="E478" s="30"/>
      <c r="J478" s="134"/>
    </row>
    <row r="479" spans="1:10" s="1" customFormat="1" x14ac:dyDescent="0.25">
      <c r="A479" s="33"/>
      <c r="C479" s="4"/>
      <c r="E479" s="30"/>
      <c r="J479" s="134"/>
    </row>
    <row r="480" spans="1:10" s="1" customFormat="1" x14ac:dyDescent="0.25">
      <c r="A480" s="33"/>
      <c r="C480" s="4"/>
      <c r="E480" s="30"/>
      <c r="J480" s="134"/>
    </row>
    <row r="481" spans="1:10" s="1" customFormat="1" x14ac:dyDescent="0.25">
      <c r="A481" s="33"/>
      <c r="C481" s="4"/>
      <c r="E481" s="30"/>
      <c r="J481" s="134"/>
    </row>
    <row r="482" spans="1:10" s="1" customFormat="1" x14ac:dyDescent="0.25">
      <c r="A482" s="33"/>
      <c r="C482" s="4"/>
      <c r="E482" s="30"/>
      <c r="J482" s="134"/>
    </row>
    <row r="483" spans="1:10" s="1" customFormat="1" x14ac:dyDescent="0.25">
      <c r="A483" s="33"/>
      <c r="C483" s="4"/>
      <c r="E483" s="30"/>
      <c r="J483" s="134"/>
    </row>
    <row r="484" spans="1:10" s="1" customFormat="1" x14ac:dyDescent="0.25">
      <c r="A484" s="33"/>
      <c r="C484" s="4"/>
      <c r="E484" s="30"/>
      <c r="J484" s="134"/>
    </row>
    <row r="485" spans="1:10" s="1" customFormat="1" x14ac:dyDescent="0.25">
      <c r="A485" s="33"/>
      <c r="C485" s="4"/>
      <c r="E485" s="30"/>
      <c r="J485" s="134"/>
    </row>
    <row r="486" spans="1:10" s="1" customFormat="1" x14ac:dyDescent="0.25">
      <c r="A486" s="33"/>
      <c r="C486" s="4"/>
      <c r="E486" s="30"/>
      <c r="J486" s="134"/>
    </row>
    <row r="487" spans="1:10" s="1" customFormat="1" x14ac:dyDescent="0.25">
      <c r="A487" s="33"/>
      <c r="C487" s="4"/>
      <c r="E487" s="30"/>
      <c r="J487" s="134"/>
    </row>
    <row r="488" spans="1:10" s="1" customFormat="1" x14ac:dyDescent="0.25">
      <c r="A488" s="33"/>
      <c r="C488" s="4"/>
      <c r="E488" s="30"/>
      <c r="J488" s="134"/>
    </row>
    <row r="489" spans="1:10" s="1" customFormat="1" x14ac:dyDescent="0.25">
      <c r="A489" s="33"/>
      <c r="C489" s="4"/>
      <c r="E489" s="30"/>
      <c r="J489" s="134"/>
    </row>
    <row r="490" spans="1:10" s="1" customFormat="1" x14ac:dyDescent="0.25">
      <c r="A490" s="33"/>
      <c r="C490" s="4"/>
      <c r="E490" s="30"/>
      <c r="J490" s="134"/>
    </row>
    <row r="491" spans="1:10" s="1" customFormat="1" x14ac:dyDescent="0.25">
      <c r="A491" s="33"/>
      <c r="C491" s="4"/>
      <c r="E491" s="30"/>
      <c r="J491" s="134"/>
    </row>
    <row r="492" spans="1:10" s="1" customFormat="1" x14ac:dyDescent="0.25">
      <c r="A492" s="33"/>
      <c r="C492" s="4"/>
      <c r="E492" s="30"/>
      <c r="J492" s="134"/>
    </row>
    <row r="493" spans="1:10" s="1" customFormat="1" x14ac:dyDescent="0.25">
      <c r="A493" s="33"/>
      <c r="C493" s="4"/>
      <c r="E493" s="30"/>
      <c r="J493" s="134"/>
    </row>
    <row r="494" spans="1:10" s="1" customFormat="1" x14ac:dyDescent="0.25">
      <c r="A494" s="33"/>
      <c r="C494" s="4"/>
      <c r="E494" s="30"/>
      <c r="J494" s="134"/>
    </row>
    <row r="495" spans="1:10" s="1" customFormat="1" x14ac:dyDescent="0.25">
      <c r="A495" s="33"/>
      <c r="C495" s="4"/>
      <c r="E495" s="30"/>
      <c r="J495" s="134"/>
    </row>
    <row r="496" spans="1:10" s="1" customFormat="1" x14ac:dyDescent="0.25">
      <c r="A496" s="33"/>
      <c r="C496" s="4"/>
      <c r="E496" s="30"/>
      <c r="J496" s="134"/>
    </row>
    <row r="497" spans="1:10" s="1" customFormat="1" x14ac:dyDescent="0.25">
      <c r="A497" s="33"/>
      <c r="C497" s="4"/>
      <c r="E497" s="30"/>
      <c r="J497" s="134"/>
    </row>
    <row r="498" spans="1:10" s="1" customFormat="1" x14ac:dyDescent="0.25">
      <c r="A498" s="33"/>
      <c r="C498" s="4"/>
      <c r="E498" s="30"/>
      <c r="J498" s="134"/>
    </row>
    <row r="499" spans="1:10" s="1" customFormat="1" x14ac:dyDescent="0.25">
      <c r="A499" s="33"/>
      <c r="C499" s="4"/>
      <c r="E499" s="30"/>
      <c r="J499" s="134"/>
    </row>
    <row r="500" spans="1:10" s="1" customFormat="1" x14ac:dyDescent="0.25">
      <c r="A500" s="33"/>
      <c r="C500" s="4"/>
      <c r="E500" s="30"/>
      <c r="J500" s="134"/>
    </row>
    <row r="501" spans="1:10" s="1" customFormat="1" x14ac:dyDescent="0.25">
      <c r="A501" s="33"/>
      <c r="C501" s="4"/>
      <c r="E501" s="30"/>
      <c r="J501" s="134"/>
    </row>
    <row r="502" spans="1:10" s="1" customFormat="1" x14ac:dyDescent="0.25">
      <c r="A502" s="33"/>
      <c r="C502" s="4"/>
      <c r="E502" s="30"/>
      <c r="J502" s="134"/>
    </row>
    <row r="503" spans="1:10" s="1" customFormat="1" x14ac:dyDescent="0.25">
      <c r="A503" s="33"/>
      <c r="C503" s="4"/>
      <c r="E503" s="30"/>
      <c r="J503" s="134"/>
    </row>
    <row r="504" spans="1:10" s="1" customFormat="1" x14ac:dyDescent="0.25">
      <c r="A504" s="33"/>
      <c r="C504" s="4"/>
      <c r="E504" s="30"/>
      <c r="J504" s="134"/>
    </row>
    <row r="505" spans="1:10" s="1" customFormat="1" x14ac:dyDescent="0.25">
      <c r="A505" s="33"/>
      <c r="C505" s="4"/>
      <c r="E505" s="30"/>
      <c r="J505" s="134"/>
    </row>
    <row r="506" spans="1:10" s="1" customFormat="1" x14ac:dyDescent="0.25">
      <c r="A506" s="33"/>
      <c r="C506" s="4"/>
      <c r="E506" s="30"/>
      <c r="J506" s="134"/>
    </row>
    <row r="507" spans="1:10" s="1" customFormat="1" x14ac:dyDescent="0.25">
      <c r="A507" s="33"/>
      <c r="C507" s="4"/>
      <c r="E507" s="30"/>
      <c r="J507" s="134"/>
    </row>
    <row r="508" spans="1:10" s="1" customFormat="1" x14ac:dyDescent="0.25">
      <c r="A508" s="33"/>
      <c r="C508" s="4"/>
      <c r="E508" s="30"/>
      <c r="J508" s="134"/>
    </row>
    <row r="509" spans="1:10" s="1" customFormat="1" x14ac:dyDescent="0.25">
      <c r="A509" s="33"/>
      <c r="C509" s="4"/>
      <c r="E509" s="30"/>
      <c r="J509" s="134"/>
    </row>
    <row r="510" spans="1:10" s="1" customFormat="1" x14ac:dyDescent="0.25">
      <c r="A510" s="33"/>
      <c r="C510" s="4"/>
      <c r="E510" s="30"/>
      <c r="J510" s="134"/>
    </row>
    <row r="511" spans="1:10" s="1" customFormat="1" x14ac:dyDescent="0.25">
      <c r="A511" s="33"/>
      <c r="C511" s="4"/>
      <c r="E511" s="30"/>
      <c r="J511" s="134"/>
    </row>
    <row r="512" spans="1:10" s="1" customFormat="1" x14ac:dyDescent="0.25">
      <c r="A512" s="33"/>
      <c r="C512" s="4"/>
      <c r="E512" s="30"/>
      <c r="J512" s="134"/>
    </row>
    <row r="513" spans="1:10" s="1" customFormat="1" x14ac:dyDescent="0.25">
      <c r="A513" s="33"/>
      <c r="C513" s="4"/>
      <c r="E513" s="30"/>
      <c r="J513" s="134"/>
    </row>
    <row r="514" spans="1:10" s="1" customFormat="1" x14ac:dyDescent="0.25">
      <c r="A514" s="33"/>
      <c r="C514" s="4"/>
      <c r="E514" s="30"/>
      <c r="J514" s="134"/>
    </row>
    <row r="515" spans="1:10" s="1" customFormat="1" x14ac:dyDescent="0.25">
      <c r="A515" s="33"/>
      <c r="C515" s="4"/>
      <c r="E515" s="30"/>
      <c r="J515" s="134"/>
    </row>
    <row r="516" spans="1:10" s="1" customFormat="1" x14ac:dyDescent="0.25">
      <c r="A516" s="33"/>
      <c r="C516" s="4"/>
      <c r="E516" s="30"/>
      <c r="J516" s="134"/>
    </row>
    <row r="517" spans="1:10" s="1" customFormat="1" x14ac:dyDescent="0.25">
      <c r="A517" s="33"/>
      <c r="C517" s="4"/>
      <c r="E517" s="30"/>
      <c r="J517" s="134"/>
    </row>
    <row r="518" spans="1:10" s="1" customFormat="1" x14ac:dyDescent="0.25">
      <c r="A518" s="33"/>
      <c r="C518" s="4"/>
      <c r="E518" s="30"/>
      <c r="J518" s="134"/>
    </row>
    <row r="519" spans="1:10" s="1" customFormat="1" x14ac:dyDescent="0.25">
      <c r="A519" s="33"/>
      <c r="C519" s="4"/>
      <c r="E519" s="30"/>
      <c r="J519" s="134"/>
    </row>
    <row r="520" spans="1:10" s="1" customFormat="1" x14ac:dyDescent="0.25">
      <c r="A520" s="33"/>
      <c r="C520" s="4"/>
      <c r="E520" s="30"/>
      <c r="J520" s="134"/>
    </row>
    <row r="521" spans="1:10" s="1" customFormat="1" x14ac:dyDescent="0.25">
      <c r="A521" s="33"/>
      <c r="C521" s="4"/>
      <c r="E521" s="30"/>
      <c r="J521" s="134"/>
    </row>
    <row r="522" spans="1:10" s="1" customFormat="1" x14ac:dyDescent="0.25">
      <c r="A522" s="33"/>
      <c r="C522" s="4"/>
      <c r="E522" s="30"/>
      <c r="J522" s="134"/>
    </row>
    <row r="523" spans="1:10" s="1" customFormat="1" x14ac:dyDescent="0.25">
      <c r="A523" s="33"/>
      <c r="C523" s="4"/>
      <c r="E523" s="30"/>
      <c r="J523" s="134"/>
    </row>
    <row r="524" spans="1:10" s="1" customFormat="1" x14ac:dyDescent="0.25">
      <c r="A524" s="33"/>
      <c r="C524" s="4"/>
      <c r="E524" s="30"/>
      <c r="J524" s="134"/>
    </row>
    <row r="525" spans="1:10" s="1" customFormat="1" x14ac:dyDescent="0.25">
      <c r="A525" s="33"/>
      <c r="C525" s="4"/>
      <c r="E525" s="30"/>
      <c r="J525" s="134"/>
    </row>
    <row r="526" spans="1:10" s="1" customFormat="1" x14ac:dyDescent="0.25">
      <c r="A526" s="33"/>
      <c r="C526" s="4"/>
      <c r="E526" s="30"/>
      <c r="J526" s="134"/>
    </row>
    <row r="527" spans="1:10" s="1" customFormat="1" x14ac:dyDescent="0.25">
      <c r="A527" s="33"/>
      <c r="C527" s="4"/>
      <c r="E527" s="30"/>
      <c r="J527" s="134"/>
    </row>
    <row r="528" spans="1:10" s="1" customFormat="1" x14ac:dyDescent="0.25">
      <c r="A528" s="33"/>
      <c r="C528" s="4"/>
      <c r="E528" s="30"/>
      <c r="J528" s="134"/>
    </row>
    <row r="529" spans="1:10" s="1" customFormat="1" x14ac:dyDescent="0.25">
      <c r="A529" s="33"/>
      <c r="C529" s="4"/>
      <c r="E529" s="30"/>
      <c r="J529" s="134"/>
    </row>
    <row r="530" spans="1:10" s="1" customFormat="1" x14ac:dyDescent="0.25">
      <c r="A530" s="33"/>
      <c r="C530" s="4"/>
      <c r="E530" s="30"/>
      <c r="J530" s="134"/>
    </row>
    <row r="531" spans="1:10" s="1" customFormat="1" x14ac:dyDescent="0.25">
      <c r="A531" s="33"/>
      <c r="C531" s="4"/>
      <c r="E531" s="30"/>
      <c r="J531" s="134"/>
    </row>
    <row r="532" spans="1:10" s="1" customFormat="1" x14ac:dyDescent="0.25">
      <c r="A532" s="33"/>
      <c r="C532" s="4"/>
      <c r="E532" s="30"/>
      <c r="J532" s="134"/>
    </row>
    <row r="533" spans="1:10" s="1" customFormat="1" x14ac:dyDescent="0.25">
      <c r="A533" s="33"/>
      <c r="C533" s="4"/>
      <c r="E533" s="30"/>
      <c r="J533" s="134"/>
    </row>
    <row r="534" spans="1:10" s="1" customFormat="1" x14ac:dyDescent="0.25">
      <c r="A534" s="33"/>
      <c r="C534" s="4"/>
      <c r="E534" s="30"/>
      <c r="J534" s="134"/>
    </row>
    <row r="535" spans="1:10" s="1" customFormat="1" x14ac:dyDescent="0.25">
      <c r="A535" s="33"/>
      <c r="C535" s="4"/>
      <c r="E535" s="30"/>
      <c r="J535" s="134"/>
    </row>
    <row r="536" spans="1:10" s="1" customFormat="1" x14ac:dyDescent="0.25">
      <c r="A536" s="33"/>
      <c r="C536" s="4"/>
      <c r="E536" s="30"/>
      <c r="J536" s="134"/>
    </row>
    <row r="537" spans="1:10" s="1" customFormat="1" x14ac:dyDescent="0.25">
      <c r="A537" s="33"/>
      <c r="C537" s="4"/>
      <c r="E537" s="30"/>
      <c r="J537" s="134"/>
    </row>
    <row r="538" spans="1:10" s="1" customFormat="1" x14ac:dyDescent="0.25">
      <c r="A538" s="33"/>
      <c r="C538" s="4"/>
      <c r="E538" s="30"/>
      <c r="J538" s="134"/>
    </row>
    <row r="539" spans="1:10" s="1" customFormat="1" x14ac:dyDescent="0.25">
      <c r="A539" s="33"/>
      <c r="C539" s="4"/>
      <c r="E539" s="30"/>
      <c r="J539" s="134"/>
    </row>
    <row r="540" spans="1:10" s="1" customFormat="1" x14ac:dyDescent="0.25">
      <c r="A540" s="33"/>
      <c r="C540" s="4"/>
      <c r="E540" s="30"/>
      <c r="J540" s="134"/>
    </row>
    <row r="541" spans="1:10" s="1" customFormat="1" x14ac:dyDescent="0.25">
      <c r="A541" s="33"/>
      <c r="C541" s="4"/>
      <c r="E541" s="30"/>
      <c r="J541" s="134"/>
    </row>
    <row r="542" spans="1:10" s="1" customFormat="1" x14ac:dyDescent="0.25">
      <c r="A542" s="33"/>
      <c r="C542" s="4"/>
      <c r="E542" s="30"/>
      <c r="J542" s="134"/>
    </row>
    <row r="543" spans="1:10" s="1" customFormat="1" x14ac:dyDescent="0.25">
      <c r="A543" s="33"/>
      <c r="C543" s="4"/>
      <c r="E543" s="30"/>
      <c r="J543" s="134"/>
    </row>
    <row r="544" spans="1:10" s="1" customFormat="1" x14ac:dyDescent="0.25">
      <c r="A544" s="33"/>
      <c r="C544" s="4"/>
      <c r="E544" s="30"/>
      <c r="J544" s="134"/>
    </row>
    <row r="545" spans="1:10" s="1" customFormat="1" x14ac:dyDescent="0.25">
      <c r="A545" s="33"/>
      <c r="C545" s="4"/>
      <c r="E545" s="30"/>
      <c r="J545" s="134"/>
    </row>
    <row r="546" spans="1:10" s="1" customFormat="1" x14ac:dyDescent="0.25">
      <c r="A546" s="33"/>
      <c r="C546" s="4"/>
      <c r="E546" s="30"/>
      <c r="J546" s="134"/>
    </row>
    <row r="547" spans="1:10" s="1" customFormat="1" x14ac:dyDescent="0.25">
      <c r="A547" s="33"/>
      <c r="C547" s="4"/>
      <c r="E547" s="30"/>
      <c r="J547" s="134"/>
    </row>
    <row r="548" spans="1:10" s="1" customFormat="1" x14ac:dyDescent="0.25">
      <c r="A548" s="33"/>
      <c r="C548" s="4"/>
      <c r="E548" s="30"/>
      <c r="J548" s="134"/>
    </row>
    <row r="549" spans="1:10" s="1" customFormat="1" x14ac:dyDescent="0.25">
      <c r="A549" s="33"/>
      <c r="C549" s="4"/>
      <c r="E549" s="30"/>
      <c r="J549" s="134"/>
    </row>
    <row r="550" spans="1:10" s="1" customFormat="1" x14ac:dyDescent="0.25">
      <c r="A550" s="33"/>
      <c r="C550" s="4"/>
      <c r="E550" s="30"/>
      <c r="J550" s="134"/>
    </row>
    <row r="551" spans="1:10" s="1" customFormat="1" x14ac:dyDescent="0.25">
      <c r="A551" s="33"/>
      <c r="C551" s="4"/>
      <c r="E551" s="30"/>
      <c r="J551" s="134"/>
    </row>
    <row r="552" spans="1:10" s="1" customFormat="1" x14ac:dyDescent="0.25">
      <c r="A552" s="33"/>
      <c r="C552" s="4"/>
      <c r="E552" s="30"/>
      <c r="J552" s="134"/>
    </row>
    <row r="553" spans="1:10" s="1" customFormat="1" x14ac:dyDescent="0.25">
      <c r="A553" s="33"/>
      <c r="C553" s="4"/>
      <c r="E553" s="30"/>
      <c r="J553" s="134"/>
    </row>
    <row r="554" spans="1:10" s="1" customFormat="1" x14ac:dyDescent="0.25">
      <c r="A554" s="33"/>
      <c r="C554" s="4"/>
      <c r="E554" s="30"/>
      <c r="J554" s="134"/>
    </row>
    <row r="555" spans="1:10" s="1" customFormat="1" x14ac:dyDescent="0.25">
      <c r="A555" s="33"/>
      <c r="C555" s="4"/>
      <c r="E555" s="30"/>
      <c r="J555" s="134"/>
    </row>
    <row r="556" spans="1:10" s="1" customFormat="1" x14ac:dyDescent="0.25">
      <c r="A556" s="33"/>
      <c r="C556" s="4"/>
      <c r="E556" s="30"/>
      <c r="J556" s="134"/>
    </row>
    <row r="557" spans="1:10" s="1" customFormat="1" x14ac:dyDescent="0.25">
      <c r="A557" s="33"/>
      <c r="C557" s="4"/>
      <c r="E557" s="30"/>
      <c r="J557" s="134"/>
    </row>
    <row r="558" spans="1:10" s="1" customFormat="1" x14ac:dyDescent="0.25">
      <c r="A558" s="33"/>
      <c r="C558" s="4"/>
      <c r="E558" s="30"/>
      <c r="J558" s="134"/>
    </row>
    <row r="559" spans="1:10" s="1" customFormat="1" x14ac:dyDescent="0.25">
      <c r="A559" s="33"/>
      <c r="C559" s="4"/>
      <c r="E559" s="30"/>
      <c r="J559" s="134"/>
    </row>
    <row r="560" spans="1:10" s="1" customFormat="1" x14ac:dyDescent="0.25">
      <c r="A560" s="33"/>
      <c r="C560" s="4"/>
      <c r="E560" s="30"/>
      <c r="J560" s="134"/>
    </row>
    <row r="561" spans="1:10" s="1" customFormat="1" x14ac:dyDescent="0.25">
      <c r="A561" s="33"/>
      <c r="C561" s="4"/>
      <c r="E561" s="30"/>
      <c r="J561" s="134"/>
    </row>
    <row r="562" spans="1:10" s="1" customFormat="1" x14ac:dyDescent="0.25">
      <c r="A562" s="33"/>
      <c r="C562" s="4"/>
      <c r="E562" s="30"/>
      <c r="J562" s="134"/>
    </row>
    <row r="563" spans="1:10" s="1" customFormat="1" x14ac:dyDescent="0.25">
      <c r="A563" s="33"/>
      <c r="C563" s="4"/>
      <c r="E563" s="30"/>
      <c r="J563" s="134"/>
    </row>
    <row r="564" spans="1:10" s="1" customFormat="1" x14ac:dyDescent="0.25">
      <c r="A564" s="33"/>
      <c r="C564" s="4"/>
      <c r="E564" s="30"/>
      <c r="J564" s="134"/>
    </row>
    <row r="565" spans="1:10" s="1" customFormat="1" x14ac:dyDescent="0.25">
      <c r="A565" s="33"/>
      <c r="C565" s="4"/>
      <c r="E565" s="30"/>
      <c r="J565" s="134"/>
    </row>
    <row r="566" spans="1:10" s="1" customFormat="1" x14ac:dyDescent="0.25">
      <c r="A566" s="33"/>
      <c r="C566" s="4"/>
      <c r="E566" s="30"/>
      <c r="J566" s="134"/>
    </row>
    <row r="567" spans="1:10" s="1" customFormat="1" x14ac:dyDescent="0.25">
      <c r="A567" s="33"/>
      <c r="C567" s="4"/>
      <c r="E567" s="30"/>
      <c r="J567" s="134"/>
    </row>
    <row r="568" spans="1:10" s="1" customFormat="1" x14ac:dyDescent="0.25">
      <c r="A568" s="33"/>
      <c r="C568" s="4"/>
      <c r="E568" s="30"/>
      <c r="J568" s="134"/>
    </row>
    <row r="569" spans="1:10" s="1" customFormat="1" x14ac:dyDescent="0.25">
      <c r="A569" s="33"/>
      <c r="C569" s="4"/>
      <c r="E569" s="30"/>
      <c r="J569" s="134"/>
    </row>
    <row r="570" spans="1:10" s="1" customFormat="1" x14ac:dyDescent="0.25">
      <c r="A570" s="33"/>
      <c r="C570" s="4"/>
      <c r="E570" s="30"/>
      <c r="J570" s="134"/>
    </row>
    <row r="571" spans="1:10" s="1" customFormat="1" x14ac:dyDescent="0.25">
      <c r="A571" s="33"/>
      <c r="C571" s="4"/>
      <c r="E571" s="30"/>
      <c r="J571" s="134"/>
    </row>
    <row r="572" spans="1:10" s="1" customFormat="1" x14ac:dyDescent="0.25">
      <c r="A572" s="33"/>
      <c r="C572" s="4"/>
      <c r="E572" s="30"/>
      <c r="J572" s="134"/>
    </row>
    <row r="573" spans="1:10" s="1" customFormat="1" x14ac:dyDescent="0.25">
      <c r="A573" s="33"/>
      <c r="C573" s="4"/>
      <c r="E573" s="30"/>
      <c r="J573" s="134"/>
    </row>
    <row r="574" spans="1:10" s="1" customFormat="1" x14ac:dyDescent="0.25">
      <c r="A574" s="33"/>
      <c r="C574" s="4"/>
      <c r="E574" s="30"/>
      <c r="J574" s="134"/>
    </row>
    <row r="575" spans="1:10" s="1" customFormat="1" x14ac:dyDescent="0.25">
      <c r="A575" s="33"/>
      <c r="C575" s="4"/>
      <c r="E575" s="30"/>
      <c r="J575" s="134"/>
    </row>
    <row r="576" spans="1:10" s="1" customFormat="1" x14ac:dyDescent="0.25">
      <c r="A576" s="33"/>
      <c r="C576" s="4"/>
      <c r="E576" s="30"/>
      <c r="J576" s="134"/>
    </row>
    <row r="577" spans="1:10" s="1" customFormat="1" x14ac:dyDescent="0.25">
      <c r="A577" s="33"/>
      <c r="C577" s="4"/>
      <c r="E577" s="30"/>
      <c r="J577" s="134"/>
    </row>
    <row r="578" spans="1:10" s="1" customFormat="1" x14ac:dyDescent="0.25">
      <c r="A578" s="33"/>
      <c r="C578" s="4"/>
      <c r="E578" s="30"/>
      <c r="J578" s="134"/>
    </row>
    <row r="579" spans="1:10" s="1" customFormat="1" x14ac:dyDescent="0.25">
      <c r="A579" s="33"/>
      <c r="C579" s="4"/>
      <c r="E579" s="30"/>
      <c r="J579" s="134"/>
    </row>
    <row r="580" spans="1:10" s="1" customFormat="1" x14ac:dyDescent="0.25">
      <c r="A580" s="33"/>
      <c r="C580" s="4"/>
      <c r="E580" s="30"/>
      <c r="J580" s="134"/>
    </row>
    <row r="581" spans="1:10" s="1" customFormat="1" x14ac:dyDescent="0.25">
      <c r="A581" s="33"/>
      <c r="C581" s="4"/>
      <c r="E581" s="30"/>
      <c r="J581" s="134"/>
    </row>
    <row r="582" spans="1:10" s="1" customFormat="1" x14ac:dyDescent="0.25">
      <c r="A582" s="33"/>
      <c r="C582" s="4"/>
      <c r="E582" s="30"/>
      <c r="J582" s="134"/>
    </row>
    <row r="583" spans="1:10" s="1" customFormat="1" x14ac:dyDescent="0.25">
      <c r="A583" s="33"/>
      <c r="C583" s="4"/>
      <c r="E583" s="30"/>
      <c r="J583" s="134"/>
    </row>
    <row r="584" spans="1:10" s="1" customFormat="1" x14ac:dyDescent="0.25">
      <c r="A584" s="33"/>
      <c r="C584" s="4"/>
      <c r="E584" s="30"/>
      <c r="J584" s="134"/>
    </row>
    <row r="585" spans="1:10" s="1" customFormat="1" x14ac:dyDescent="0.25">
      <c r="A585" s="33"/>
      <c r="C585" s="4"/>
      <c r="E585" s="30"/>
      <c r="J585" s="134"/>
    </row>
    <row r="586" spans="1:10" s="1" customFormat="1" x14ac:dyDescent="0.25">
      <c r="A586" s="33"/>
      <c r="C586" s="4"/>
      <c r="E586" s="30"/>
      <c r="J586" s="134"/>
    </row>
    <row r="587" spans="1:10" s="1" customFormat="1" x14ac:dyDescent="0.25">
      <c r="A587" s="33"/>
      <c r="C587" s="4"/>
      <c r="E587" s="30"/>
      <c r="J587" s="134"/>
    </row>
    <row r="588" spans="1:10" s="1" customFormat="1" x14ac:dyDescent="0.25">
      <c r="A588" s="33"/>
      <c r="C588" s="4"/>
      <c r="E588" s="30"/>
      <c r="J588" s="134"/>
    </row>
    <row r="589" spans="1:10" s="1" customFormat="1" x14ac:dyDescent="0.25">
      <c r="A589" s="33"/>
      <c r="C589" s="4"/>
      <c r="E589" s="30"/>
      <c r="J589" s="134"/>
    </row>
    <row r="590" spans="1:10" s="1" customFormat="1" x14ac:dyDescent="0.25">
      <c r="A590" s="33"/>
      <c r="C590" s="4"/>
      <c r="E590" s="30"/>
      <c r="J590" s="134"/>
    </row>
    <row r="591" spans="1:10" s="1" customFormat="1" x14ac:dyDescent="0.25">
      <c r="A591" s="33"/>
      <c r="C591" s="4"/>
      <c r="E591" s="30"/>
      <c r="J591" s="134"/>
    </row>
    <row r="592" spans="1:10" s="1" customFormat="1" x14ac:dyDescent="0.25">
      <c r="A592" s="33"/>
      <c r="C592" s="4"/>
      <c r="E592" s="30"/>
      <c r="J592" s="134"/>
    </row>
    <row r="593" spans="1:10" s="1" customFormat="1" x14ac:dyDescent="0.25">
      <c r="A593" s="33"/>
      <c r="C593" s="4"/>
      <c r="E593" s="30"/>
      <c r="J593" s="134"/>
    </row>
    <row r="594" spans="1:10" s="1" customFormat="1" x14ac:dyDescent="0.25">
      <c r="A594" s="33"/>
      <c r="C594" s="4"/>
      <c r="E594" s="30"/>
      <c r="J594" s="134"/>
    </row>
    <row r="595" spans="1:10" s="1" customFormat="1" x14ac:dyDescent="0.25">
      <c r="A595" s="33"/>
      <c r="C595" s="4"/>
      <c r="E595" s="30"/>
      <c r="J595" s="134"/>
    </row>
    <row r="596" spans="1:10" s="1" customFormat="1" x14ac:dyDescent="0.25">
      <c r="A596" s="33"/>
      <c r="C596" s="4"/>
      <c r="E596" s="30"/>
      <c r="J596" s="134"/>
    </row>
    <row r="597" spans="1:10" s="1" customFormat="1" x14ac:dyDescent="0.25">
      <c r="A597" s="33"/>
      <c r="C597" s="4"/>
      <c r="E597" s="30"/>
      <c r="J597" s="134"/>
    </row>
    <row r="598" spans="1:10" s="1" customFormat="1" x14ac:dyDescent="0.25">
      <c r="A598" s="33"/>
      <c r="C598" s="4"/>
      <c r="E598" s="30"/>
      <c r="J598" s="134"/>
    </row>
    <row r="599" spans="1:10" s="1" customFormat="1" x14ac:dyDescent="0.25">
      <c r="A599" s="33"/>
      <c r="C599" s="4"/>
      <c r="E599" s="30"/>
      <c r="J599" s="134"/>
    </row>
    <row r="600" spans="1:10" s="1" customFormat="1" x14ac:dyDescent="0.25">
      <c r="A600" s="33"/>
      <c r="C600" s="4"/>
      <c r="E600" s="30"/>
      <c r="J600" s="134"/>
    </row>
    <row r="601" spans="1:10" s="1" customFormat="1" x14ac:dyDescent="0.25">
      <c r="A601" s="33"/>
      <c r="C601" s="4"/>
      <c r="E601" s="30"/>
      <c r="J601" s="134"/>
    </row>
    <row r="602" spans="1:10" s="1" customFormat="1" x14ac:dyDescent="0.25">
      <c r="A602" s="33"/>
      <c r="C602" s="4"/>
      <c r="E602" s="30"/>
      <c r="J602" s="134"/>
    </row>
    <row r="603" spans="1:10" s="1" customFormat="1" x14ac:dyDescent="0.25">
      <c r="A603" s="33"/>
      <c r="C603" s="4"/>
      <c r="E603" s="30"/>
      <c r="J603" s="134"/>
    </row>
    <row r="604" spans="1:10" s="1" customFormat="1" x14ac:dyDescent="0.25">
      <c r="A604" s="33"/>
      <c r="C604" s="4"/>
      <c r="E604" s="30"/>
      <c r="J604" s="134"/>
    </row>
    <row r="605" spans="1:10" s="1" customFormat="1" x14ac:dyDescent="0.25">
      <c r="A605" s="33"/>
      <c r="C605" s="4"/>
      <c r="E605" s="30"/>
      <c r="J605" s="134"/>
    </row>
    <row r="606" spans="1:10" s="1" customFormat="1" x14ac:dyDescent="0.25">
      <c r="A606" s="33"/>
      <c r="C606" s="4"/>
      <c r="E606" s="30"/>
      <c r="J606" s="134"/>
    </row>
    <row r="607" spans="1:10" s="1" customFormat="1" x14ac:dyDescent="0.25">
      <c r="A607" s="33"/>
      <c r="C607" s="4"/>
      <c r="E607" s="30"/>
      <c r="J607" s="134"/>
    </row>
    <row r="608" spans="1:10" s="1" customFormat="1" x14ac:dyDescent="0.25">
      <c r="A608" s="33"/>
      <c r="C608" s="4"/>
      <c r="E608" s="30"/>
      <c r="J608" s="134"/>
    </row>
    <row r="609" spans="1:10" s="1" customFormat="1" x14ac:dyDescent="0.25">
      <c r="A609" s="33"/>
      <c r="C609" s="4"/>
      <c r="E609" s="30"/>
      <c r="J609" s="134"/>
    </row>
    <row r="610" spans="1:10" s="1" customFormat="1" x14ac:dyDescent="0.25">
      <c r="A610" s="33"/>
      <c r="C610" s="4"/>
      <c r="E610" s="30"/>
      <c r="J610" s="134"/>
    </row>
    <row r="611" spans="1:10" s="1" customFormat="1" x14ac:dyDescent="0.25">
      <c r="A611" s="33"/>
      <c r="C611" s="4"/>
      <c r="E611" s="30"/>
      <c r="J611" s="134"/>
    </row>
    <row r="612" spans="1:10" s="1" customFormat="1" x14ac:dyDescent="0.25">
      <c r="A612" s="33"/>
      <c r="C612" s="4"/>
      <c r="E612" s="30"/>
      <c r="J612" s="134"/>
    </row>
    <row r="613" spans="1:10" s="1" customFormat="1" x14ac:dyDescent="0.25">
      <c r="A613" s="33"/>
      <c r="C613" s="4"/>
      <c r="E613" s="30"/>
      <c r="J613" s="134"/>
    </row>
    <row r="614" spans="1:10" s="1" customFormat="1" x14ac:dyDescent="0.25">
      <c r="A614" s="33"/>
      <c r="C614" s="4"/>
      <c r="E614" s="30"/>
      <c r="J614" s="134"/>
    </row>
    <row r="615" spans="1:10" s="1" customFormat="1" x14ac:dyDescent="0.25">
      <c r="A615" s="33"/>
      <c r="C615" s="4"/>
      <c r="E615" s="30"/>
      <c r="J615" s="134"/>
    </row>
    <row r="616" spans="1:10" s="1" customFormat="1" x14ac:dyDescent="0.25">
      <c r="A616" s="33"/>
      <c r="C616" s="4"/>
      <c r="E616" s="30"/>
      <c r="J616" s="134"/>
    </row>
    <row r="617" spans="1:10" s="1" customFormat="1" x14ac:dyDescent="0.25">
      <c r="A617" s="33"/>
      <c r="C617" s="4"/>
      <c r="E617" s="30"/>
      <c r="J617" s="134"/>
    </row>
    <row r="618" spans="1:10" s="1" customFormat="1" x14ac:dyDescent="0.25">
      <c r="A618" s="33"/>
      <c r="C618" s="4"/>
      <c r="E618" s="30"/>
      <c r="J618" s="134"/>
    </row>
    <row r="619" spans="1:10" s="1" customFormat="1" x14ac:dyDescent="0.25">
      <c r="A619" s="33"/>
      <c r="C619" s="4"/>
      <c r="E619" s="30"/>
      <c r="J619" s="134"/>
    </row>
    <row r="620" spans="1:10" s="1" customFormat="1" x14ac:dyDescent="0.25">
      <c r="A620" s="33"/>
      <c r="C620" s="4"/>
      <c r="E620" s="30"/>
      <c r="J620" s="134"/>
    </row>
    <row r="621" spans="1:10" s="1" customFormat="1" x14ac:dyDescent="0.25">
      <c r="A621" s="33"/>
      <c r="C621" s="4"/>
      <c r="E621" s="30"/>
      <c r="J621" s="134"/>
    </row>
    <row r="622" spans="1:10" s="1" customFormat="1" x14ac:dyDescent="0.25">
      <c r="A622" s="33"/>
      <c r="C622" s="4"/>
      <c r="E622" s="30"/>
      <c r="J622" s="134"/>
    </row>
    <row r="623" spans="1:10" s="1" customFormat="1" x14ac:dyDescent="0.25">
      <c r="A623" s="33"/>
      <c r="C623" s="4"/>
      <c r="E623" s="30"/>
      <c r="J623" s="134"/>
    </row>
    <row r="624" spans="1:10" s="1" customFormat="1" x14ac:dyDescent="0.25">
      <c r="A624" s="33"/>
      <c r="C624" s="4"/>
      <c r="E624" s="30"/>
      <c r="J624" s="134"/>
    </row>
    <row r="625" spans="1:10" s="1" customFormat="1" x14ac:dyDescent="0.25">
      <c r="A625" s="33"/>
      <c r="C625" s="4"/>
      <c r="E625" s="30"/>
      <c r="J625" s="134"/>
    </row>
    <row r="626" spans="1:10" s="1" customFormat="1" x14ac:dyDescent="0.25">
      <c r="A626" s="33"/>
      <c r="C626" s="4"/>
      <c r="E626" s="30"/>
      <c r="J626" s="134"/>
    </row>
    <row r="627" spans="1:10" s="1" customFormat="1" x14ac:dyDescent="0.25">
      <c r="A627" s="33"/>
      <c r="C627" s="4"/>
      <c r="E627" s="30"/>
      <c r="J627" s="134"/>
    </row>
    <row r="628" spans="1:10" s="1" customFormat="1" x14ac:dyDescent="0.25">
      <c r="A628" s="33"/>
      <c r="C628" s="4"/>
      <c r="E628" s="30"/>
      <c r="J628" s="134"/>
    </row>
    <row r="629" spans="1:10" s="1" customFormat="1" x14ac:dyDescent="0.25">
      <c r="A629" s="33"/>
      <c r="C629" s="4"/>
      <c r="E629" s="30"/>
      <c r="J629" s="134"/>
    </row>
    <row r="630" spans="1:10" s="1" customFormat="1" x14ac:dyDescent="0.25">
      <c r="A630" s="33"/>
      <c r="C630" s="4"/>
      <c r="E630" s="30"/>
      <c r="J630" s="134"/>
    </row>
    <row r="631" spans="1:10" s="1" customFormat="1" x14ac:dyDescent="0.25">
      <c r="A631" s="33"/>
      <c r="C631" s="4"/>
      <c r="E631" s="30"/>
      <c r="J631" s="134"/>
    </row>
    <row r="632" spans="1:10" s="1" customFormat="1" x14ac:dyDescent="0.25">
      <c r="A632" s="33"/>
      <c r="C632" s="4"/>
      <c r="E632" s="30"/>
      <c r="J632" s="134"/>
    </row>
    <row r="633" spans="1:10" s="1" customFormat="1" x14ac:dyDescent="0.25">
      <c r="A633" s="33"/>
      <c r="C633" s="4"/>
      <c r="E633" s="30"/>
      <c r="J633" s="134"/>
    </row>
    <row r="634" spans="1:10" s="1" customFormat="1" x14ac:dyDescent="0.25">
      <c r="A634" s="33"/>
      <c r="C634" s="4"/>
      <c r="E634" s="30"/>
      <c r="J634" s="134"/>
    </row>
    <row r="635" spans="1:10" s="1" customFormat="1" x14ac:dyDescent="0.25">
      <c r="A635" s="33"/>
      <c r="C635" s="4"/>
      <c r="E635" s="30"/>
      <c r="J635" s="134"/>
    </row>
    <row r="636" spans="1:10" s="1" customFormat="1" x14ac:dyDescent="0.25">
      <c r="A636" s="33"/>
      <c r="C636" s="4"/>
      <c r="E636" s="30"/>
      <c r="J636" s="134"/>
    </row>
    <row r="637" spans="1:10" s="1" customFormat="1" x14ac:dyDescent="0.25">
      <c r="A637" s="33"/>
      <c r="C637" s="4"/>
      <c r="E637" s="30"/>
      <c r="J637" s="134"/>
    </row>
    <row r="638" spans="1:10" s="1" customFormat="1" x14ac:dyDescent="0.25">
      <c r="A638" s="33"/>
      <c r="C638" s="4"/>
      <c r="E638" s="30"/>
      <c r="J638" s="134"/>
    </row>
    <row r="639" spans="1:10" s="1" customFormat="1" x14ac:dyDescent="0.25">
      <c r="A639" s="33"/>
      <c r="C639" s="4"/>
      <c r="E639" s="30"/>
      <c r="J639" s="134"/>
    </row>
    <row r="640" spans="1:10" s="1" customFormat="1" x14ac:dyDescent="0.25">
      <c r="A640" s="33"/>
      <c r="C640" s="4"/>
      <c r="E640" s="30"/>
      <c r="J640" s="134"/>
    </row>
    <row r="641" spans="1:10" s="1" customFormat="1" x14ac:dyDescent="0.25">
      <c r="A641" s="33"/>
      <c r="C641" s="4"/>
      <c r="E641" s="30"/>
      <c r="J641" s="134"/>
    </row>
    <row r="642" spans="1:10" s="1" customFormat="1" x14ac:dyDescent="0.25">
      <c r="A642" s="33"/>
      <c r="C642" s="4"/>
      <c r="E642" s="30"/>
      <c r="J642" s="134"/>
    </row>
    <row r="643" spans="1:10" s="1" customFormat="1" x14ac:dyDescent="0.25">
      <c r="A643" s="33"/>
      <c r="C643" s="4"/>
      <c r="E643" s="30"/>
      <c r="J643" s="134"/>
    </row>
    <row r="644" spans="1:10" s="1" customFormat="1" x14ac:dyDescent="0.25">
      <c r="A644" s="33"/>
      <c r="C644" s="4"/>
      <c r="E644" s="30"/>
      <c r="J644" s="134"/>
    </row>
    <row r="645" spans="1:10" s="1" customFormat="1" x14ac:dyDescent="0.25">
      <c r="A645" s="33"/>
      <c r="C645" s="4"/>
      <c r="E645" s="30"/>
      <c r="J645" s="134"/>
    </row>
    <row r="646" spans="1:10" s="1" customFormat="1" x14ac:dyDescent="0.25">
      <c r="A646" s="33"/>
      <c r="C646" s="4"/>
      <c r="E646" s="30"/>
      <c r="J646" s="134"/>
    </row>
    <row r="647" spans="1:10" s="1" customFormat="1" x14ac:dyDescent="0.25">
      <c r="A647" s="33"/>
      <c r="C647" s="4"/>
      <c r="E647" s="30"/>
      <c r="J647" s="134"/>
    </row>
    <row r="648" spans="1:10" s="1" customFormat="1" x14ac:dyDescent="0.25">
      <c r="A648" s="33"/>
      <c r="C648" s="4"/>
      <c r="E648" s="30"/>
      <c r="J648" s="134"/>
    </row>
    <row r="649" spans="1:10" s="1" customFormat="1" x14ac:dyDescent="0.25">
      <c r="A649" s="33"/>
      <c r="C649" s="4"/>
      <c r="E649" s="30"/>
      <c r="J649" s="134"/>
    </row>
    <row r="650" spans="1:10" s="1" customFormat="1" x14ac:dyDescent="0.25">
      <c r="A650" s="33"/>
      <c r="C650" s="4"/>
      <c r="E650" s="30"/>
      <c r="J650" s="134"/>
    </row>
    <row r="651" spans="1:10" s="1" customFormat="1" x14ac:dyDescent="0.25">
      <c r="A651" s="33"/>
      <c r="C651" s="4"/>
      <c r="E651" s="30"/>
      <c r="J651" s="134"/>
    </row>
    <row r="652" spans="1:10" s="1" customFormat="1" x14ac:dyDescent="0.25">
      <c r="A652" s="33"/>
      <c r="C652" s="4"/>
      <c r="E652" s="30"/>
      <c r="J652" s="134"/>
    </row>
    <row r="653" spans="1:10" s="1" customFormat="1" x14ac:dyDescent="0.25">
      <c r="A653" s="33"/>
      <c r="C653" s="4"/>
      <c r="E653" s="30"/>
      <c r="J653" s="134"/>
    </row>
    <row r="654" spans="1:10" s="1" customFormat="1" x14ac:dyDescent="0.25">
      <c r="A654" s="33"/>
      <c r="C654" s="4"/>
      <c r="E654" s="30"/>
      <c r="J654" s="134"/>
    </row>
    <row r="655" spans="1:10" s="1" customFormat="1" x14ac:dyDescent="0.25">
      <c r="A655" s="33"/>
      <c r="C655" s="4"/>
      <c r="E655" s="30"/>
      <c r="J655" s="134"/>
    </row>
    <row r="656" spans="1:10" s="1" customFormat="1" x14ac:dyDescent="0.25">
      <c r="A656" s="33"/>
      <c r="C656" s="4"/>
      <c r="E656" s="30"/>
      <c r="J656" s="134"/>
    </row>
    <row r="657" spans="1:10" s="1" customFormat="1" x14ac:dyDescent="0.25">
      <c r="A657" s="33"/>
      <c r="C657" s="4"/>
      <c r="E657" s="30"/>
      <c r="J657" s="134"/>
    </row>
    <row r="658" spans="1:10" s="1" customFormat="1" x14ac:dyDescent="0.25">
      <c r="A658" s="33"/>
      <c r="C658" s="4"/>
      <c r="E658" s="30"/>
      <c r="J658" s="134"/>
    </row>
    <row r="659" spans="1:10" s="1" customFormat="1" x14ac:dyDescent="0.25">
      <c r="A659" s="33"/>
      <c r="C659" s="4"/>
      <c r="E659" s="30"/>
      <c r="J659" s="134"/>
    </row>
    <row r="660" spans="1:10" s="1" customFormat="1" x14ac:dyDescent="0.25">
      <c r="A660" s="33"/>
      <c r="C660" s="4"/>
      <c r="E660" s="30"/>
      <c r="J660" s="134"/>
    </row>
    <row r="661" spans="1:10" s="1" customFormat="1" x14ac:dyDescent="0.25">
      <c r="A661" s="33"/>
      <c r="C661" s="4"/>
      <c r="E661" s="30"/>
      <c r="J661" s="134"/>
    </row>
    <row r="662" spans="1:10" s="1" customFormat="1" x14ac:dyDescent="0.25">
      <c r="A662" s="33"/>
      <c r="C662" s="4"/>
      <c r="E662" s="30"/>
      <c r="J662" s="134"/>
    </row>
    <row r="663" spans="1:10" s="1" customFormat="1" x14ac:dyDescent="0.25">
      <c r="A663" s="33"/>
      <c r="C663" s="4"/>
      <c r="E663" s="30"/>
      <c r="J663" s="134"/>
    </row>
    <row r="664" spans="1:10" s="1" customFormat="1" x14ac:dyDescent="0.25">
      <c r="A664" s="33"/>
      <c r="C664" s="4"/>
      <c r="E664" s="30"/>
      <c r="J664" s="134"/>
    </row>
    <row r="665" spans="1:10" s="1" customFormat="1" x14ac:dyDescent="0.25">
      <c r="A665" s="33"/>
      <c r="C665" s="4"/>
      <c r="E665" s="30"/>
      <c r="J665" s="134"/>
    </row>
    <row r="666" spans="1:10" s="1" customFormat="1" x14ac:dyDescent="0.25">
      <c r="A666" s="33"/>
      <c r="C666" s="4"/>
      <c r="E666" s="30"/>
      <c r="J666" s="134"/>
    </row>
    <row r="667" spans="1:10" s="1" customFormat="1" x14ac:dyDescent="0.25">
      <c r="A667" s="33"/>
      <c r="C667" s="4"/>
      <c r="E667" s="30"/>
      <c r="J667" s="134"/>
    </row>
    <row r="668" spans="1:10" s="1" customFormat="1" x14ac:dyDescent="0.25">
      <c r="A668" s="33"/>
      <c r="C668" s="4"/>
      <c r="E668" s="30"/>
      <c r="J668" s="134"/>
    </row>
    <row r="669" spans="1:10" s="1" customFormat="1" x14ac:dyDescent="0.25">
      <c r="A669" s="33"/>
      <c r="C669" s="4"/>
      <c r="E669" s="30"/>
      <c r="J669" s="134"/>
    </row>
    <row r="670" spans="1:10" s="1" customFormat="1" x14ac:dyDescent="0.25">
      <c r="A670" s="33"/>
      <c r="C670" s="4"/>
      <c r="E670" s="30"/>
      <c r="J670" s="134"/>
    </row>
    <row r="671" spans="1:10" s="1" customFormat="1" x14ac:dyDescent="0.25">
      <c r="A671" s="33"/>
      <c r="C671" s="4"/>
      <c r="E671" s="30"/>
      <c r="J671" s="134"/>
    </row>
    <row r="672" spans="1:10" s="1" customFormat="1" x14ac:dyDescent="0.25">
      <c r="A672" s="33"/>
      <c r="C672" s="4"/>
      <c r="E672" s="30"/>
      <c r="J672" s="134"/>
    </row>
    <row r="673" spans="1:10" s="1" customFormat="1" x14ac:dyDescent="0.25">
      <c r="A673" s="33"/>
      <c r="C673" s="4"/>
      <c r="E673" s="30"/>
      <c r="J673" s="134"/>
    </row>
    <row r="674" spans="1:10" s="1" customFormat="1" x14ac:dyDescent="0.25">
      <c r="A674" s="33"/>
      <c r="C674" s="4"/>
      <c r="E674" s="30"/>
      <c r="J674" s="134"/>
    </row>
    <row r="675" spans="1:10" s="1" customFormat="1" x14ac:dyDescent="0.25">
      <c r="A675" s="33"/>
      <c r="C675" s="4"/>
      <c r="E675" s="30"/>
      <c r="J675" s="134"/>
    </row>
    <row r="676" spans="1:10" s="1" customFormat="1" x14ac:dyDescent="0.25">
      <c r="A676" s="33"/>
      <c r="C676" s="4"/>
      <c r="E676" s="30"/>
      <c r="J676" s="134"/>
    </row>
    <row r="677" spans="1:10" s="1" customFormat="1" x14ac:dyDescent="0.25">
      <c r="A677" s="33"/>
      <c r="C677" s="4"/>
      <c r="E677" s="30"/>
      <c r="J677" s="134"/>
    </row>
    <row r="678" spans="1:10" s="1" customFormat="1" x14ac:dyDescent="0.25">
      <c r="A678" s="33"/>
      <c r="C678" s="4"/>
      <c r="E678" s="30"/>
      <c r="J678" s="134"/>
    </row>
    <row r="679" spans="1:10" s="1" customFormat="1" x14ac:dyDescent="0.25">
      <c r="A679" s="33"/>
      <c r="C679" s="4"/>
      <c r="E679" s="30"/>
      <c r="J679" s="134"/>
    </row>
    <row r="680" spans="1:10" s="1" customFormat="1" x14ac:dyDescent="0.25">
      <c r="A680" s="33"/>
      <c r="C680" s="4"/>
      <c r="E680" s="30"/>
      <c r="J680" s="134"/>
    </row>
    <row r="681" spans="1:10" s="1" customFormat="1" x14ac:dyDescent="0.25">
      <c r="A681" s="33"/>
      <c r="C681" s="4"/>
      <c r="E681" s="30"/>
      <c r="J681" s="134"/>
    </row>
    <row r="682" spans="1:10" s="1" customFormat="1" x14ac:dyDescent="0.25">
      <c r="A682" s="33"/>
      <c r="C682" s="4"/>
      <c r="E682" s="30"/>
      <c r="J682" s="134"/>
    </row>
    <row r="683" spans="1:10" s="1" customFormat="1" x14ac:dyDescent="0.25">
      <c r="A683" s="33"/>
      <c r="C683" s="4"/>
      <c r="E683" s="30"/>
      <c r="J683" s="134"/>
    </row>
    <row r="684" spans="1:10" s="1" customFormat="1" x14ac:dyDescent="0.25">
      <c r="A684" s="33"/>
      <c r="C684" s="4"/>
      <c r="E684" s="30"/>
      <c r="J684" s="134"/>
    </row>
    <row r="685" spans="1:10" s="1" customFormat="1" x14ac:dyDescent="0.25">
      <c r="A685" s="33"/>
      <c r="C685" s="4"/>
      <c r="E685" s="30"/>
      <c r="J685" s="134"/>
    </row>
    <row r="686" spans="1:10" s="1" customFormat="1" x14ac:dyDescent="0.25">
      <c r="A686" s="33"/>
      <c r="C686" s="4"/>
      <c r="E686" s="30"/>
      <c r="J686" s="134"/>
    </row>
    <row r="687" spans="1:10" s="1" customFormat="1" x14ac:dyDescent="0.25">
      <c r="A687" s="33"/>
      <c r="C687" s="4"/>
      <c r="E687" s="30"/>
      <c r="J687" s="134"/>
    </row>
    <row r="688" spans="1:10" s="1" customFormat="1" x14ac:dyDescent="0.25">
      <c r="A688" s="33"/>
      <c r="C688" s="4"/>
      <c r="E688" s="30"/>
      <c r="J688" s="134"/>
    </row>
    <row r="689" spans="1:10" s="1" customFormat="1" x14ac:dyDescent="0.25">
      <c r="A689" s="33"/>
      <c r="C689" s="4"/>
      <c r="E689" s="30"/>
      <c r="J689" s="134"/>
    </row>
    <row r="690" spans="1:10" s="1" customFormat="1" x14ac:dyDescent="0.25">
      <c r="A690" s="33"/>
      <c r="C690" s="4"/>
      <c r="E690" s="30"/>
      <c r="J690" s="134"/>
    </row>
    <row r="691" spans="1:10" s="1" customFormat="1" x14ac:dyDescent="0.25">
      <c r="A691" s="33"/>
      <c r="C691" s="4"/>
      <c r="E691" s="30"/>
      <c r="J691" s="134"/>
    </row>
    <row r="692" spans="1:10" s="1" customFormat="1" x14ac:dyDescent="0.25">
      <c r="A692" s="33"/>
      <c r="C692" s="4"/>
      <c r="E692" s="30"/>
      <c r="J692" s="134"/>
    </row>
    <row r="693" spans="1:10" s="1" customFormat="1" x14ac:dyDescent="0.25">
      <c r="A693" s="33"/>
      <c r="C693" s="4"/>
      <c r="E693" s="30"/>
      <c r="J693" s="134"/>
    </row>
    <row r="694" spans="1:10" s="1" customFormat="1" x14ac:dyDescent="0.25">
      <c r="A694" s="33"/>
      <c r="C694" s="4"/>
      <c r="E694" s="30"/>
      <c r="J694" s="134"/>
    </row>
    <row r="695" spans="1:10" s="1" customFormat="1" x14ac:dyDescent="0.25">
      <c r="A695" s="33"/>
      <c r="C695" s="4"/>
      <c r="E695" s="30"/>
      <c r="J695" s="134"/>
    </row>
    <row r="696" spans="1:10" s="1" customFormat="1" x14ac:dyDescent="0.25">
      <c r="A696" s="33"/>
      <c r="C696" s="4"/>
      <c r="E696" s="30"/>
      <c r="J696" s="134"/>
    </row>
    <row r="697" spans="1:10" s="1" customFormat="1" x14ac:dyDescent="0.25">
      <c r="A697" s="33"/>
      <c r="C697" s="4"/>
      <c r="E697" s="30"/>
      <c r="J697" s="134"/>
    </row>
    <row r="698" spans="1:10" s="1" customFormat="1" x14ac:dyDescent="0.25">
      <c r="A698" s="33"/>
      <c r="C698" s="4"/>
      <c r="E698" s="30"/>
      <c r="J698" s="134"/>
    </row>
    <row r="699" spans="1:10" s="1" customFormat="1" x14ac:dyDescent="0.25">
      <c r="A699" s="33"/>
      <c r="C699" s="4"/>
      <c r="E699" s="30"/>
      <c r="J699" s="134"/>
    </row>
    <row r="700" spans="1:10" s="1" customFormat="1" x14ac:dyDescent="0.25">
      <c r="A700" s="33"/>
      <c r="C700" s="4"/>
      <c r="E700" s="30"/>
      <c r="J700" s="134"/>
    </row>
    <row r="701" spans="1:10" s="1" customFormat="1" x14ac:dyDescent="0.25">
      <c r="A701" s="33"/>
      <c r="C701" s="4"/>
      <c r="E701" s="30"/>
      <c r="J701" s="134"/>
    </row>
    <row r="702" spans="1:10" s="1" customFormat="1" x14ac:dyDescent="0.25">
      <c r="A702" s="33"/>
      <c r="C702" s="4"/>
      <c r="E702" s="30"/>
      <c r="J702" s="134"/>
    </row>
    <row r="703" spans="1:10" s="1" customFormat="1" x14ac:dyDescent="0.25">
      <c r="A703" s="33"/>
      <c r="C703" s="4"/>
      <c r="E703" s="30"/>
      <c r="J703" s="134"/>
    </row>
    <row r="704" spans="1:10" s="1" customFormat="1" x14ac:dyDescent="0.25">
      <c r="A704" s="33"/>
      <c r="C704" s="4"/>
      <c r="E704" s="30"/>
      <c r="J704" s="134"/>
    </row>
    <row r="705" spans="1:10" s="1" customFormat="1" x14ac:dyDescent="0.25">
      <c r="A705" s="33"/>
      <c r="C705" s="4"/>
      <c r="E705" s="30"/>
      <c r="J705" s="134"/>
    </row>
    <row r="706" spans="1:10" s="1" customFormat="1" x14ac:dyDescent="0.25">
      <c r="A706" s="33"/>
      <c r="C706" s="4"/>
      <c r="E706" s="30"/>
      <c r="J706" s="134"/>
    </row>
    <row r="707" spans="1:10" s="1" customFormat="1" x14ac:dyDescent="0.25">
      <c r="A707" s="33"/>
      <c r="C707" s="4"/>
      <c r="E707" s="30"/>
      <c r="J707" s="134"/>
    </row>
    <row r="708" spans="1:10" s="1" customFormat="1" x14ac:dyDescent="0.25">
      <c r="A708" s="33"/>
      <c r="C708" s="4"/>
      <c r="E708" s="30"/>
      <c r="J708" s="134"/>
    </row>
    <row r="709" spans="1:10" s="1" customFormat="1" x14ac:dyDescent="0.25">
      <c r="A709" s="33"/>
      <c r="C709" s="4"/>
      <c r="E709" s="30"/>
      <c r="J709" s="134"/>
    </row>
    <row r="710" spans="1:10" s="1" customFormat="1" x14ac:dyDescent="0.25">
      <c r="A710" s="33"/>
      <c r="C710" s="4"/>
      <c r="E710" s="30"/>
      <c r="J710" s="134"/>
    </row>
    <row r="711" spans="1:10" s="1" customFormat="1" x14ac:dyDescent="0.25">
      <c r="A711" s="33"/>
      <c r="C711" s="4"/>
      <c r="E711" s="30"/>
      <c r="J711" s="134"/>
    </row>
    <row r="712" spans="1:10" s="1" customFormat="1" x14ac:dyDescent="0.25">
      <c r="A712" s="33"/>
      <c r="C712" s="4"/>
      <c r="E712" s="30"/>
      <c r="J712" s="134"/>
    </row>
    <row r="713" spans="1:10" s="1" customFormat="1" x14ac:dyDescent="0.25">
      <c r="A713" s="33"/>
      <c r="C713" s="4"/>
      <c r="E713" s="30"/>
      <c r="J713" s="134"/>
    </row>
    <row r="714" spans="1:10" s="1" customFormat="1" x14ac:dyDescent="0.25">
      <c r="A714" s="33"/>
      <c r="C714" s="4"/>
      <c r="E714" s="30"/>
      <c r="J714" s="134"/>
    </row>
    <row r="715" spans="1:10" s="1" customFormat="1" x14ac:dyDescent="0.25">
      <c r="A715" s="33"/>
      <c r="C715" s="4"/>
      <c r="E715" s="30"/>
      <c r="J715" s="134"/>
    </row>
    <row r="716" spans="1:10" s="1" customFormat="1" x14ac:dyDescent="0.25">
      <c r="A716" s="33"/>
      <c r="C716" s="4"/>
      <c r="E716" s="30"/>
      <c r="J716" s="134"/>
    </row>
    <row r="717" spans="1:10" s="1" customFormat="1" x14ac:dyDescent="0.25">
      <c r="A717" s="33"/>
      <c r="C717" s="4"/>
      <c r="E717" s="30"/>
      <c r="J717" s="134"/>
    </row>
    <row r="718" spans="1:10" s="1" customFormat="1" x14ac:dyDescent="0.25">
      <c r="A718" s="33"/>
      <c r="C718" s="4"/>
      <c r="E718" s="30"/>
      <c r="J718" s="134"/>
    </row>
    <row r="719" spans="1:10" s="1" customFormat="1" x14ac:dyDescent="0.25">
      <c r="A719" s="33"/>
      <c r="C719" s="4"/>
      <c r="E719" s="30"/>
      <c r="J719" s="134"/>
    </row>
    <row r="720" spans="1:10" s="1" customFormat="1" x14ac:dyDescent="0.25">
      <c r="A720" s="33"/>
      <c r="C720" s="4"/>
      <c r="E720" s="30"/>
      <c r="J720" s="134"/>
    </row>
    <row r="721" spans="1:10" s="1" customFormat="1" x14ac:dyDescent="0.25">
      <c r="A721" s="33"/>
      <c r="C721" s="4"/>
      <c r="E721" s="30"/>
      <c r="J721" s="134"/>
    </row>
    <row r="722" spans="1:10" s="1" customFormat="1" x14ac:dyDescent="0.25">
      <c r="A722" s="33"/>
      <c r="C722" s="4"/>
      <c r="E722" s="30"/>
      <c r="J722" s="134"/>
    </row>
    <row r="723" spans="1:10" s="1" customFormat="1" x14ac:dyDescent="0.25">
      <c r="A723" s="33"/>
      <c r="C723" s="4"/>
      <c r="E723" s="30"/>
      <c r="J723" s="134"/>
    </row>
    <row r="724" spans="1:10" s="1" customFormat="1" x14ac:dyDescent="0.25">
      <c r="A724" s="33"/>
      <c r="C724" s="4"/>
      <c r="E724" s="30"/>
      <c r="J724" s="134"/>
    </row>
    <row r="725" spans="1:10" s="1" customFormat="1" x14ac:dyDescent="0.25">
      <c r="A725" s="33"/>
      <c r="C725" s="4"/>
      <c r="E725" s="30"/>
      <c r="J725" s="134"/>
    </row>
    <row r="726" spans="1:10" s="1" customFormat="1" x14ac:dyDescent="0.25">
      <c r="A726" s="33"/>
      <c r="C726" s="4"/>
      <c r="E726" s="30"/>
      <c r="J726" s="134"/>
    </row>
    <row r="727" spans="1:10" s="1" customFormat="1" x14ac:dyDescent="0.25">
      <c r="A727" s="33"/>
      <c r="C727" s="4"/>
      <c r="E727" s="30"/>
      <c r="J727" s="134"/>
    </row>
    <row r="728" spans="1:10" s="1" customFormat="1" x14ac:dyDescent="0.25">
      <c r="A728" s="33"/>
      <c r="C728" s="4"/>
      <c r="E728" s="30"/>
      <c r="J728" s="134"/>
    </row>
    <row r="729" spans="1:10" s="1" customFormat="1" x14ac:dyDescent="0.25">
      <c r="A729" s="33"/>
      <c r="C729" s="4"/>
      <c r="E729" s="30"/>
      <c r="J729" s="134"/>
    </row>
    <row r="730" spans="1:10" s="1" customFormat="1" x14ac:dyDescent="0.25">
      <c r="A730" s="33"/>
      <c r="C730" s="4"/>
      <c r="E730" s="30"/>
      <c r="J730" s="134"/>
    </row>
    <row r="731" spans="1:10" s="1" customFormat="1" x14ac:dyDescent="0.25">
      <c r="A731" s="33"/>
      <c r="C731" s="4"/>
      <c r="E731" s="30"/>
      <c r="J731" s="134"/>
    </row>
    <row r="732" spans="1:10" s="1" customFormat="1" x14ac:dyDescent="0.25">
      <c r="A732" s="33"/>
      <c r="C732" s="4"/>
      <c r="E732" s="30"/>
      <c r="J732" s="134"/>
    </row>
    <row r="733" spans="1:10" s="1" customFormat="1" x14ac:dyDescent="0.25">
      <c r="A733" s="33"/>
      <c r="C733" s="4"/>
      <c r="E733" s="30"/>
      <c r="J733" s="134"/>
    </row>
    <row r="734" spans="1:10" s="1" customFormat="1" x14ac:dyDescent="0.25">
      <c r="A734" s="33"/>
      <c r="C734" s="4"/>
      <c r="E734" s="30"/>
      <c r="J734" s="134"/>
    </row>
    <row r="735" spans="1:10" s="1" customFormat="1" x14ac:dyDescent="0.25">
      <c r="A735" s="33"/>
      <c r="C735" s="4"/>
      <c r="E735" s="30"/>
      <c r="J735" s="134"/>
    </row>
    <row r="736" spans="1:10" s="1" customFormat="1" x14ac:dyDescent="0.25">
      <c r="A736" s="33"/>
      <c r="C736" s="4"/>
      <c r="E736" s="30"/>
      <c r="J736" s="134"/>
    </row>
    <row r="737" spans="1:10" s="1" customFormat="1" x14ac:dyDescent="0.25">
      <c r="A737" s="33"/>
      <c r="C737" s="4"/>
      <c r="E737" s="30"/>
      <c r="J737" s="134"/>
    </row>
    <row r="738" spans="1:10" s="1" customFormat="1" x14ac:dyDescent="0.25">
      <c r="A738" s="33"/>
      <c r="C738" s="4"/>
      <c r="E738" s="30"/>
      <c r="J738" s="134"/>
    </row>
    <row r="739" spans="1:10" s="1" customFormat="1" x14ac:dyDescent="0.25">
      <c r="A739" s="33"/>
      <c r="C739" s="4"/>
      <c r="E739" s="30"/>
      <c r="J739" s="134"/>
    </row>
    <row r="740" spans="1:10" s="1" customFormat="1" x14ac:dyDescent="0.25">
      <c r="A740" s="33"/>
      <c r="C740" s="4"/>
      <c r="E740" s="30"/>
      <c r="J740" s="134"/>
    </row>
    <row r="741" spans="1:10" s="1" customFormat="1" x14ac:dyDescent="0.25">
      <c r="A741" s="33"/>
      <c r="C741" s="4"/>
      <c r="E741" s="30"/>
      <c r="J741" s="134"/>
    </row>
    <row r="742" spans="1:10" s="1" customFormat="1" x14ac:dyDescent="0.25">
      <c r="A742" s="33"/>
      <c r="C742" s="4"/>
      <c r="E742" s="30"/>
      <c r="J742" s="134"/>
    </row>
    <row r="743" spans="1:10" s="1" customFormat="1" x14ac:dyDescent="0.25">
      <c r="A743" s="33"/>
      <c r="C743" s="4"/>
      <c r="E743" s="30"/>
      <c r="J743" s="134"/>
    </row>
    <row r="744" spans="1:10" s="1" customFormat="1" x14ac:dyDescent="0.25">
      <c r="A744" s="33"/>
      <c r="C744" s="4"/>
      <c r="E744" s="30"/>
      <c r="J744" s="134"/>
    </row>
    <row r="745" spans="1:10" s="1" customFormat="1" x14ac:dyDescent="0.25">
      <c r="A745" s="33"/>
      <c r="C745" s="4"/>
      <c r="E745" s="30"/>
      <c r="J745" s="134"/>
    </row>
    <row r="746" spans="1:10" s="1" customFormat="1" x14ac:dyDescent="0.25">
      <c r="A746" s="33"/>
      <c r="C746" s="4"/>
      <c r="E746" s="30"/>
      <c r="J746" s="134"/>
    </row>
    <row r="747" spans="1:10" s="1" customFormat="1" x14ac:dyDescent="0.25">
      <c r="A747" s="33"/>
      <c r="C747" s="4"/>
      <c r="E747" s="30"/>
      <c r="J747" s="134"/>
    </row>
    <row r="748" spans="1:10" s="1" customFormat="1" x14ac:dyDescent="0.25">
      <c r="A748" s="33"/>
      <c r="C748" s="4"/>
      <c r="E748" s="30"/>
      <c r="J748" s="134"/>
    </row>
    <row r="749" spans="1:10" s="1" customFormat="1" x14ac:dyDescent="0.25">
      <c r="A749" s="33"/>
      <c r="C749" s="4"/>
      <c r="E749" s="30"/>
      <c r="J749" s="134"/>
    </row>
    <row r="750" spans="1:10" s="1" customFormat="1" x14ac:dyDescent="0.25">
      <c r="A750" s="33"/>
      <c r="C750" s="4"/>
      <c r="E750" s="30"/>
      <c r="J750" s="134"/>
    </row>
    <row r="751" spans="1:10" s="1" customFormat="1" x14ac:dyDescent="0.25">
      <c r="A751" s="33"/>
      <c r="C751" s="4"/>
      <c r="E751" s="30"/>
      <c r="J751" s="134"/>
    </row>
    <row r="752" spans="1:10" s="1" customFormat="1" x14ac:dyDescent="0.25">
      <c r="A752" s="33"/>
      <c r="C752" s="4"/>
      <c r="E752" s="30"/>
      <c r="J752" s="134"/>
    </row>
    <row r="753" spans="1:10" s="1" customFormat="1" x14ac:dyDescent="0.25">
      <c r="A753" s="33"/>
      <c r="C753" s="4"/>
      <c r="E753" s="30"/>
      <c r="J753" s="134"/>
    </row>
    <row r="754" spans="1:10" s="1" customFormat="1" x14ac:dyDescent="0.25">
      <c r="A754" s="33"/>
      <c r="C754" s="4"/>
      <c r="E754" s="30"/>
      <c r="J754" s="134"/>
    </row>
    <row r="755" spans="1:10" s="1" customFormat="1" x14ac:dyDescent="0.25">
      <c r="A755" s="33"/>
      <c r="C755" s="4"/>
      <c r="E755" s="30"/>
      <c r="J755" s="134"/>
    </row>
    <row r="756" spans="1:10" s="1" customFormat="1" x14ac:dyDescent="0.25">
      <c r="A756" s="33"/>
      <c r="C756" s="4"/>
      <c r="E756" s="30"/>
      <c r="J756" s="134"/>
    </row>
    <row r="757" spans="1:10" s="1" customFormat="1" x14ac:dyDescent="0.25">
      <c r="A757" s="33"/>
      <c r="C757" s="4"/>
      <c r="E757" s="30"/>
      <c r="J757" s="134"/>
    </row>
    <row r="758" spans="1:10" s="1" customFormat="1" x14ac:dyDescent="0.25">
      <c r="A758" s="33"/>
      <c r="C758" s="4"/>
      <c r="E758" s="30"/>
      <c r="J758" s="134"/>
    </row>
    <row r="759" spans="1:10" s="1" customFormat="1" x14ac:dyDescent="0.25">
      <c r="A759" s="33"/>
      <c r="C759" s="4"/>
      <c r="E759" s="30"/>
      <c r="J759" s="134"/>
    </row>
    <row r="760" spans="1:10" s="1" customFormat="1" x14ac:dyDescent="0.25">
      <c r="A760" s="33"/>
      <c r="C760" s="4"/>
      <c r="E760" s="30"/>
      <c r="J760" s="134"/>
    </row>
    <row r="761" spans="1:10" s="1" customFormat="1" x14ac:dyDescent="0.25">
      <c r="A761" s="33"/>
      <c r="C761" s="4"/>
      <c r="E761" s="30"/>
      <c r="J761" s="134"/>
    </row>
    <row r="762" spans="1:10" s="1" customFormat="1" x14ac:dyDescent="0.25">
      <c r="A762" s="33"/>
      <c r="C762" s="4"/>
      <c r="E762" s="30"/>
      <c r="J762" s="134"/>
    </row>
    <row r="763" spans="1:10" s="1" customFormat="1" x14ac:dyDescent="0.25">
      <c r="A763" s="33"/>
      <c r="C763" s="4"/>
      <c r="E763" s="30"/>
      <c r="J763" s="134"/>
    </row>
    <row r="764" spans="1:10" s="1" customFormat="1" x14ac:dyDescent="0.25">
      <c r="A764" s="33"/>
      <c r="C764" s="4"/>
      <c r="E764" s="30"/>
      <c r="J764" s="134"/>
    </row>
    <row r="765" spans="1:10" s="1" customFormat="1" x14ac:dyDescent="0.25">
      <c r="A765" s="33"/>
      <c r="C765" s="4"/>
      <c r="E765" s="30"/>
      <c r="J765" s="134"/>
    </row>
    <row r="766" spans="1:10" s="1" customFormat="1" x14ac:dyDescent="0.25">
      <c r="A766" s="33"/>
      <c r="C766" s="4"/>
      <c r="E766" s="30"/>
      <c r="J766" s="134"/>
    </row>
    <row r="767" spans="1:10" s="1" customFormat="1" x14ac:dyDescent="0.25">
      <c r="A767" s="33"/>
      <c r="C767" s="4"/>
      <c r="E767" s="30"/>
      <c r="J767" s="134"/>
    </row>
    <row r="768" spans="1:10" s="1" customFormat="1" x14ac:dyDescent="0.25">
      <c r="A768" s="33"/>
      <c r="C768" s="4"/>
      <c r="E768" s="30"/>
      <c r="J768" s="134"/>
    </row>
    <row r="769" spans="1:10" s="1" customFormat="1" x14ac:dyDescent="0.25">
      <c r="A769" s="33"/>
      <c r="C769" s="4"/>
      <c r="E769" s="30"/>
      <c r="J769" s="134"/>
    </row>
    <row r="770" spans="1:10" s="1" customFormat="1" x14ac:dyDescent="0.25">
      <c r="A770" s="33"/>
      <c r="C770" s="4"/>
      <c r="E770" s="30"/>
      <c r="J770" s="134"/>
    </row>
    <row r="771" spans="1:10" s="1" customFormat="1" x14ac:dyDescent="0.25">
      <c r="A771" s="33"/>
      <c r="C771" s="4"/>
      <c r="E771" s="30"/>
      <c r="J771" s="134"/>
    </row>
    <row r="772" spans="1:10" s="1" customFormat="1" x14ac:dyDescent="0.25">
      <c r="A772" s="33"/>
      <c r="C772" s="4"/>
      <c r="E772" s="30"/>
      <c r="J772" s="134"/>
    </row>
    <row r="773" spans="1:10" s="1" customFormat="1" x14ac:dyDescent="0.25">
      <c r="A773" s="33"/>
      <c r="C773" s="4"/>
      <c r="E773" s="30"/>
      <c r="J773" s="134"/>
    </row>
    <row r="774" spans="1:10" s="1" customFormat="1" x14ac:dyDescent="0.25">
      <c r="A774" s="33"/>
      <c r="C774" s="4"/>
      <c r="E774" s="30"/>
      <c r="J774" s="134"/>
    </row>
    <row r="775" spans="1:10" s="1" customFormat="1" x14ac:dyDescent="0.25">
      <c r="A775" s="33"/>
      <c r="C775" s="4"/>
      <c r="E775" s="30"/>
      <c r="J775" s="134"/>
    </row>
    <row r="776" spans="1:10" s="1" customFormat="1" x14ac:dyDescent="0.25">
      <c r="A776" s="33"/>
      <c r="C776" s="4"/>
      <c r="E776" s="30"/>
      <c r="J776" s="134"/>
    </row>
    <row r="777" spans="1:10" s="1" customFormat="1" x14ac:dyDescent="0.25">
      <c r="A777" s="33"/>
      <c r="C777" s="4"/>
      <c r="E777" s="30"/>
      <c r="J777" s="134"/>
    </row>
    <row r="778" spans="1:10" s="1" customFormat="1" x14ac:dyDescent="0.25">
      <c r="A778" s="33"/>
      <c r="C778" s="4"/>
      <c r="E778" s="30"/>
      <c r="J778" s="134"/>
    </row>
    <row r="779" spans="1:10" s="1" customFormat="1" x14ac:dyDescent="0.25">
      <c r="A779" s="33"/>
      <c r="C779" s="4"/>
      <c r="E779" s="30"/>
      <c r="J779" s="134"/>
    </row>
    <row r="780" spans="1:10" s="1" customFormat="1" x14ac:dyDescent="0.25">
      <c r="A780" s="33"/>
      <c r="C780" s="4"/>
      <c r="E780" s="30"/>
      <c r="J780" s="134"/>
    </row>
    <row r="781" spans="1:10" s="1" customFormat="1" x14ac:dyDescent="0.25">
      <c r="A781" s="33"/>
      <c r="C781" s="4"/>
      <c r="E781" s="30"/>
      <c r="J781" s="134"/>
    </row>
    <row r="782" spans="1:10" s="1" customFormat="1" x14ac:dyDescent="0.25">
      <c r="A782" s="33"/>
      <c r="C782" s="4"/>
      <c r="E782" s="30"/>
      <c r="J782" s="134"/>
    </row>
    <row r="783" spans="1:10" s="1" customFormat="1" x14ac:dyDescent="0.25">
      <c r="A783" s="33"/>
      <c r="C783" s="4"/>
      <c r="E783" s="30"/>
      <c r="J783" s="134"/>
    </row>
    <row r="784" spans="1:10" s="1" customFormat="1" x14ac:dyDescent="0.25">
      <c r="A784" s="33"/>
      <c r="C784" s="4"/>
      <c r="E784" s="30"/>
      <c r="J784" s="134"/>
    </row>
    <row r="785" spans="1:10" s="1" customFormat="1" x14ac:dyDescent="0.25">
      <c r="A785" s="33"/>
      <c r="C785" s="4"/>
      <c r="E785" s="30"/>
      <c r="J785" s="134"/>
    </row>
    <row r="786" spans="1:10" s="1" customFormat="1" x14ac:dyDescent="0.25">
      <c r="A786" s="33"/>
      <c r="C786" s="4"/>
      <c r="E786" s="30"/>
      <c r="J786" s="134"/>
    </row>
    <row r="787" spans="1:10" s="1" customFormat="1" x14ac:dyDescent="0.25">
      <c r="A787" s="33"/>
      <c r="C787" s="4"/>
      <c r="E787" s="30"/>
      <c r="J787" s="134"/>
    </row>
    <row r="788" spans="1:10" s="1" customFormat="1" x14ac:dyDescent="0.25">
      <c r="A788" s="33"/>
      <c r="C788" s="4"/>
      <c r="E788" s="30"/>
      <c r="J788" s="134"/>
    </row>
    <row r="789" spans="1:10" s="1" customFormat="1" x14ac:dyDescent="0.25">
      <c r="A789" s="33"/>
      <c r="C789" s="4"/>
      <c r="E789" s="30"/>
      <c r="J789" s="134"/>
    </row>
    <row r="790" spans="1:10" s="1" customFormat="1" x14ac:dyDescent="0.25">
      <c r="A790" s="33"/>
      <c r="C790" s="4"/>
      <c r="E790" s="30"/>
      <c r="J790" s="134"/>
    </row>
    <row r="791" spans="1:10" s="1" customFormat="1" x14ac:dyDescent="0.25">
      <c r="A791" s="33"/>
      <c r="C791" s="4"/>
      <c r="E791" s="30"/>
      <c r="J791" s="134"/>
    </row>
    <row r="792" spans="1:10" s="1" customFormat="1" x14ac:dyDescent="0.25">
      <c r="A792" s="33"/>
      <c r="C792" s="4"/>
      <c r="E792" s="30"/>
      <c r="J792" s="134"/>
    </row>
    <row r="793" spans="1:10" s="1" customFormat="1" x14ac:dyDescent="0.25">
      <c r="A793" s="33"/>
      <c r="C793" s="4"/>
      <c r="E793" s="30"/>
      <c r="J793" s="134"/>
    </row>
    <row r="794" spans="1:10" s="1" customFormat="1" x14ac:dyDescent="0.25">
      <c r="A794" s="33"/>
      <c r="C794" s="4"/>
      <c r="E794" s="30"/>
      <c r="J794" s="134"/>
    </row>
    <row r="795" spans="1:10" s="1" customFormat="1" x14ac:dyDescent="0.25">
      <c r="A795" s="33"/>
      <c r="C795" s="4"/>
      <c r="E795" s="30"/>
      <c r="J795" s="134"/>
    </row>
    <row r="796" spans="1:10" s="1" customFormat="1" x14ac:dyDescent="0.25">
      <c r="A796" s="33"/>
      <c r="C796" s="4"/>
      <c r="E796" s="30"/>
      <c r="J796" s="134"/>
    </row>
    <row r="797" spans="1:10" s="1" customFormat="1" x14ac:dyDescent="0.25">
      <c r="A797" s="33"/>
      <c r="C797" s="4"/>
      <c r="E797" s="30"/>
      <c r="J797" s="134"/>
    </row>
    <row r="798" spans="1:10" s="1" customFormat="1" x14ac:dyDescent="0.25">
      <c r="A798" s="33"/>
      <c r="C798" s="4"/>
      <c r="E798" s="30"/>
      <c r="J798" s="134"/>
    </row>
    <row r="799" spans="1:10" s="1" customFormat="1" x14ac:dyDescent="0.25">
      <c r="A799" s="33"/>
      <c r="C799" s="4"/>
      <c r="E799" s="30"/>
      <c r="J799" s="134"/>
    </row>
    <row r="800" spans="1:10" s="1" customFormat="1" x14ac:dyDescent="0.25">
      <c r="A800" s="33"/>
      <c r="C800" s="4"/>
      <c r="E800" s="30"/>
      <c r="J800" s="134"/>
    </row>
    <row r="801" spans="1:10" s="1" customFormat="1" x14ac:dyDescent="0.25">
      <c r="A801" s="33"/>
      <c r="C801" s="4"/>
      <c r="E801" s="30"/>
      <c r="J801" s="134"/>
    </row>
    <row r="802" spans="1:10" s="1" customFormat="1" x14ac:dyDescent="0.25">
      <c r="A802" s="33"/>
      <c r="C802" s="4"/>
      <c r="E802" s="30"/>
      <c r="J802" s="134"/>
    </row>
    <row r="803" spans="1:10" s="1" customFormat="1" x14ac:dyDescent="0.25">
      <c r="A803" s="33"/>
      <c r="C803" s="4"/>
      <c r="E803" s="30"/>
      <c r="J803" s="134"/>
    </row>
    <row r="804" spans="1:10" s="1" customFormat="1" x14ac:dyDescent="0.25">
      <c r="A804" s="33"/>
      <c r="C804" s="4"/>
      <c r="E804" s="30"/>
      <c r="J804" s="134"/>
    </row>
    <row r="805" spans="1:10" s="1" customFormat="1" x14ac:dyDescent="0.25">
      <c r="A805" s="33"/>
      <c r="C805" s="4"/>
      <c r="E805" s="30"/>
      <c r="J805" s="134"/>
    </row>
    <row r="806" spans="1:10" s="1" customFormat="1" x14ac:dyDescent="0.25">
      <c r="A806" s="33"/>
      <c r="C806" s="4"/>
      <c r="E806" s="30"/>
      <c r="J806" s="134"/>
    </row>
    <row r="807" spans="1:10" s="1" customFormat="1" x14ac:dyDescent="0.25">
      <c r="A807" s="33"/>
      <c r="C807" s="4"/>
      <c r="E807" s="30"/>
      <c r="J807" s="134"/>
    </row>
    <row r="808" spans="1:10" s="1" customFormat="1" x14ac:dyDescent="0.25">
      <c r="A808" s="33"/>
      <c r="C808" s="4"/>
      <c r="E808" s="30"/>
      <c r="J808" s="134"/>
    </row>
    <row r="809" spans="1:10" s="1" customFormat="1" x14ac:dyDescent="0.25">
      <c r="A809" s="33"/>
      <c r="C809" s="4"/>
      <c r="E809" s="30"/>
      <c r="J809" s="134"/>
    </row>
    <row r="810" spans="1:10" s="1" customFormat="1" x14ac:dyDescent="0.25">
      <c r="A810" s="33"/>
      <c r="C810" s="4"/>
      <c r="E810" s="30"/>
      <c r="J810" s="134"/>
    </row>
    <row r="811" spans="1:10" s="1" customFormat="1" x14ac:dyDescent="0.25">
      <c r="A811" s="33"/>
      <c r="C811" s="4"/>
      <c r="E811" s="30"/>
      <c r="J811" s="134"/>
    </row>
    <row r="812" spans="1:10" s="1" customFormat="1" x14ac:dyDescent="0.25">
      <c r="A812" s="33"/>
      <c r="C812" s="4"/>
      <c r="E812" s="30"/>
      <c r="J812" s="134"/>
    </row>
    <row r="813" spans="1:10" s="1" customFormat="1" x14ac:dyDescent="0.25">
      <c r="A813" s="33"/>
      <c r="C813" s="4"/>
      <c r="E813" s="30"/>
      <c r="J813" s="134"/>
    </row>
    <row r="814" spans="1:10" s="1" customFormat="1" x14ac:dyDescent="0.25">
      <c r="A814" s="33"/>
      <c r="C814" s="4"/>
      <c r="E814" s="30"/>
      <c r="J814" s="134"/>
    </row>
    <row r="815" spans="1:10" s="1" customFormat="1" x14ac:dyDescent="0.25">
      <c r="A815" s="33"/>
      <c r="C815" s="4"/>
      <c r="E815" s="30"/>
      <c r="J815" s="134"/>
    </row>
    <row r="816" spans="1:10" s="1" customFormat="1" x14ac:dyDescent="0.25">
      <c r="A816" s="33"/>
      <c r="C816" s="4"/>
      <c r="E816" s="30"/>
      <c r="J816" s="134"/>
    </row>
    <row r="817" spans="1:10" s="1" customFormat="1" x14ac:dyDescent="0.25">
      <c r="A817" s="33"/>
      <c r="C817" s="4"/>
      <c r="E817" s="30"/>
      <c r="J817" s="134"/>
    </row>
    <row r="818" spans="1:10" s="1" customFormat="1" x14ac:dyDescent="0.25">
      <c r="A818" s="33"/>
      <c r="C818" s="4"/>
      <c r="E818" s="30"/>
      <c r="J818" s="134"/>
    </row>
    <row r="819" spans="1:10" s="1" customFormat="1" x14ac:dyDescent="0.25">
      <c r="A819" s="33"/>
      <c r="C819" s="4"/>
      <c r="E819" s="30"/>
      <c r="J819" s="134"/>
    </row>
    <row r="820" spans="1:10" s="1" customFormat="1" x14ac:dyDescent="0.25">
      <c r="A820" s="33"/>
      <c r="C820" s="4"/>
      <c r="E820" s="30"/>
      <c r="J820" s="134"/>
    </row>
    <row r="821" spans="1:10" s="1" customFormat="1" x14ac:dyDescent="0.25">
      <c r="A821" s="33"/>
      <c r="C821" s="4"/>
      <c r="E821" s="30"/>
      <c r="J821" s="134"/>
    </row>
    <row r="822" spans="1:10" s="1" customFormat="1" x14ac:dyDescent="0.25">
      <c r="A822" s="33"/>
      <c r="C822" s="4"/>
      <c r="E822" s="30"/>
      <c r="J822" s="134"/>
    </row>
    <row r="823" spans="1:10" s="1" customFormat="1" x14ac:dyDescent="0.25">
      <c r="A823" s="33"/>
      <c r="C823" s="4"/>
      <c r="E823" s="30"/>
      <c r="J823" s="134"/>
    </row>
    <row r="824" spans="1:10" s="1" customFormat="1" x14ac:dyDescent="0.25">
      <c r="A824" s="33"/>
      <c r="C824" s="4"/>
      <c r="E824" s="30"/>
      <c r="J824" s="134"/>
    </row>
    <row r="825" spans="1:10" s="1" customFormat="1" x14ac:dyDescent="0.25">
      <c r="A825" s="33"/>
      <c r="C825" s="4"/>
      <c r="E825" s="30"/>
      <c r="J825" s="134"/>
    </row>
    <row r="826" spans="1:10" s="1" customFormat="1" x14ac:dyDescent="0.25">
      <c r="A826" s="33"/>
      <c r="C826" s="4"/>
      <c r="E826" s="30"/>
      <c r="J826" s="134"/>
    </row>
    <row r="827" spans="1:10" s="1" customFormat="1" x14ac:dyDescent="0.25">
      <c r="A827" s="33"/>
      <c r="C827" s="4"/>
      <c r="E827" s="30"/>
      <c r="J827" s="134"/>
    </row>
    <row r="828" spans="1:10" s="1" customFormat="1" x14ac:dyDescent="0.25">
      <c r="A828" s="33"/>
      <c r="C828" s="4"/>
      <c r="E828" s="30"/>
      <c r="J828" s="134"/>
    </row>
    <row r="829" spans="1:10" s="1" customFormat="1" x14ac:dyDescent="0.25">
      <c r="A829" s="33"/>
      <c r="C829" s="4"/>
      <c r="E829" s="30"/>
      <c r="J829" s="134"/>
    </row>
    <row r="830" spans="1:10" s="1" customFormat="1" x14ac:dyDescent="0.25">
      <c r="A830" s="33"/>
      <c r="C830" s="4"/>
      <c r="E830" s="30"/>
      <c r="J830" s="134"/>
    </row>
    <row r="831" spans="1:10" s="1" customFormat="1" x14ac:dyDescent="0.25">
      <c r="A831" s="33"/>
      <c r="C831" s="4"/>
      <c r="E831" s="30"/>
      <c r="J831" s="134"/>
    </row>
    <row r="832" spans="1:10" s="1" customFormat="1" x14ac:dyDescent="0.25">
      <c r="A832" s="33"/>
      <c r="C832" s="4"/>
      <c r="E832" s="30"/>
      <c r="J832" s="134"/>
    </row>
    <row r="833" spans="1:10" s="1" customFormat="1" x14ac:dyDescent="0.25">
      <c r="A833" s="33"/>
      <c r="C833" s="4"/>
      <c r="E833" s="30"/>
      <c r="J833" s="134"/>
    </row>
    <row r="834" spans="1:10" s="1" customFormat="1" x14ac:dyDescent="0.25">
      <c r="A834" s="33"/>
      <c r="C834" s="4"/>
      <c r="E834" s="30"/>
      <c r="J834" s="134"/>
    </row>
    <row r="835" spans="1:10" s="1" customFormat="1" x14ac:dyDescent="0.25">
      <c r="A835" s="33"/>
      <c r="C835" s="4"/>
      <c r="E835" s="30"/>
      <c r="J835" s="134"/>
    </row>
    <row r="836" spans="1:10" s="1" customFormat="1" x14ac:dyDescent="0.25">
      <c r="A836" s="33"/>
      <c r="C836" s="4"/>
      <c r="E836" s="30"/>
      <c r="J836" s="134"/>
    </row>
    <row r="837" spans="1:10" s="1" customFormat="1" x14ac:dyDescent="0.25">
      <c r="A837" s="33"/>
      <c r="C837" s="4"/>
      <c r="E837" s="30"/>
      <c r="J837" s="134"/>
    </row>
    <row r="838" spans="1:10" s="1" customFormat="1" x14ac:dyDescent="0.25">
      <c r="A838" s="33"/>
      <c r="C838" s="4"/>
      <c r="E838" s="30"/>
      <c r="J838" s="134"/>
    </row>
    <row r="839" spans="1:10" s="1" customFormat="1" x14ac:dyDescent="0.25">
      <c r="A839" s="33"/>
      <c r="C839" s="4"/>
      <c r="E839" s="30"/>
      <c r="J839" s="134"/>
    </row>
    <row r="840" spans="1:10" s="1" customFormat="1" x14ac:dyDescent="0.25">
      <c r="A840" s="33"/>
      <c r="C840" s="4"/>
      <c r="E840" s="30"/>
      <c r="J840" s="134"/>
    </row>
    <row r="841" spans="1:10" s="1" customFormat="1" x14ac:dyDescent="0.25">
      <c r="A841" s="33"/>
      <c r="C841" s="4"/>
      <c r="E841" s="30"/>
      <c r="J841" s="134"/>
    </row>
    <row r="842" spans="1:10" s="1" customFormat="1" x14ac:dyDescent="0.25">
      <c r="A842" s="33"/>
      <c r="C842" s="4"/>
      <c r="E842" s="30"/>
      <c r="J842" s="134"/>
    </row>
    <row r="843" spans="1:10" s="1" customFormat="1" x14ac:dyDescent="0.25">
      <c r="A843" s="33"/>
      <c r="C843" s="4"/>
      <c r="E843" s="30"/>
      <c r="J843" s="134"/>
    </row>
    <row r="844" spans="1:10" s="1" customFormat="1" x14ac:dyDescent="0.25">
      <c r="A844" s="33"/>
      <c r="C844" s="4"/>
      <c r="E844" s="30"/>
      <c r="J844" s="134"/>
    </row>
    <row r="845" spans="1:10" s="1" customFormat="1" x14ac:dyDescent="0.25">
      <c r="A845" s="33"/>
      <c r="C845" s="4"/>
      <c r="E845" s="30"/>
      <c r="J845" s="134"/>
    </row>
    <row r="846" spans="1:10" s="1" customFormat="1" x14ac:dyDescent="0.25">
      <c r="A846" s="33"/>
      <c r="C846" s="4"/>
      <c r="E846" s="30"/>
      <c r="J846" s="134"/>
    </row>
    <row r="847" spans="1:10" s="1" customFormat="1" x14ac:dyDescent="0.25">
      <c r="A847" s="33"/>
      <c r="C847" s="4"/>
      <c r="E847" s="30"/>
      <c r="J847" s="134"/>
    </row>
    <row r="848" spans="1:10" s="1" customFormat="1" x14ac:dyDescent="0.25">
      <c r="A848" s="33"/>
      <c r="C848" s="4"/>
      <c r="E848" s="30"/>
      <c r="J848" s="134"/>
    </row>
    <row r="849" spans="1:10" s="1" customFormat="1" x14ac:dyDescent="0.25">
      <c r="A849" s="33"/>
      <c r="C849" s="4"/>
      <c r="E849" s="30"/>
      <c r="J849" s="134"/>
    </row>
    <row r="850" spans="1:10" s="1" customFormat="1" x14ac:dyDescent="0.25">
      <c r="A850" s="33"/>
      <c r="C850" s="4"/>
      <c r="E850" s="30"/>
      <c r="J850" s="134"/>
    </row>
    <row r="851" spans="1:10" s="1" customFormat="1" x14ac:dyDescent="0.25">
      <c r="A851" s="33"/>
      <c r="C851" s="4"/>
      <c r="E851" s="30"/>
      <c r="J851" s="134"/>
    </row>
    <row r="852" spans="1:10" s="1" customFormat="1" x14ac:dyDescent="0.25">
      <c r="A852" s="33"/>
      <c r="C852" s="4"/>
      <c r="E852" s="30"/>
      <c r="J852" s="134"/>
    </row>
    <row r="853" spans="1:10" s="1" customFormat="1" x14ac:dyDescent="0.25">
      <c r="A853" s="33"/>
      <c r="C853" s="4"/>
      <c r="E853" s="30"/>
      <c r="J853" s="134"/>
    </row>
    <row r="854" spans="1:10" s="1" customFormat="1" x14ac:dyDescent="0.25">
      <c r="A854" s="33"/>
      <c r="C854" s="4"/>
      <c r="E854" s="30"/>
      <c r="J854" s="134"/>
    </row>
    <row r="855" spans="1:10" s="1" customFormat="1" x14ac:dyDescent="0.25">
      <c r="A855" s="33"/>
      <c r="C855" s="4"/>
      <c r="E855" s="30"/>
      <c r="J855" s="134"/>
    </row>
    <row r="856" spans="1:10" s="1" customFormat="1" x14ac:dyDescent="0.25">
      <c r="A856" s="33"/>
      <c r="C856" s="4"/>
      <c r="E856" s="30"/>
      <c r="J856" s="134"/>
    </row>
    <row r="857" spans="1:10" s="1" customFormat="1" x14ac:dyDescent="0.25">
      <c r="A857" s="33"/>
      <c r="C857" s="4"/>
      <c r="E857" s="30"/>
      <c r="J857" s="134"/>
    </row>
    <row r="858" spans="1:10" s="1" customFormat="1" x14ac:dyDescent="0.25">
      <c r="A858" s="33"/>
      <c r="C858" s="4"/>
      <c r="E858" s="30"/>
      <c r="J858" s="134"/>
    </row>
    <row r="859" spans="1:10" s="1" customFormat="1" x14ac:dyDescent="0.25">
      <c r="A859" s="33"/>
      <c r="C859" s="4"/>
      <c r="E859" s="30"/>
      <c r="J859" s="134"/>
    </row>
    <row r="860" spans="1:10" s="1" customFormat="1" x14ac:dyDescent="0.25">
      <c r="A860" s="33"/>
      <c r="C860" s="4"/>
      <c r="E860" s="30"/>
      <c r="J860" s="134"/>
    </row>
    <row r="861" spans="1:10" s="1" customFormat="1" x14ac:dyDescent="0.25">
      <c r="A861" s="33"/>
      <c r="C861" s="4"/>
      <c r="E861" s="30"/>
      <c r="J861" s="134"/>
    </row>
    <row r="862" spans="1:10" s="1" customFormat="1" x14ac:dyDescent="0.25">
      <c r="A862" s="33"/>
      <c r="C862" s="4"/>
      <c r="E862" s="30"/>
      <c r="J862" s="134"/>
    </row>
    <row r="863" spans="1:10" s="1" customFormat="1" x14ac:dyDescent="0.25">
      <c r="A863" s="33"/>
      <c r="C863" s="4"/>
      <c r="E863" s="30"/>
      <c r="J863" s="134"/>
    </row>
    <row r="864" spans="1:10" s="1" customFormat="1" x14ac:dyDescent="0.25">
      <c r="A864" s="33"/>
      <c r="C864" s="4"/>
      <c r="E864" s="30"/>
      <c r="J864" s="134"/>
    </row>
    <row r="865" spans="1:10" s="1" customFormat="1" x14ac:dyDescent="0.25">
      <c r="A865" s="33"/>
      <c r="C865" s="4"/>
      <c r="E865" s="30"/>
      <c r="J865" s="134"/>
    </row>
    <row r="866" spans="1:10" s="1" customFormat="1" x14ac:dyDescent="0.25">
      <c r="A866" s="33"/>
      <c r="C866" s="4"/>
      <c r="E866" s="30"/>
      <c r="J866" s="134"/>
    </row>
    <row r="867" spans="1:10" s="1" customFormat="1" x14ac:dyDescent="0.25">
      <c r="A867" s="33"/>
      <c r="C867" s="4"/>
      <c r="E867" s="30"/>
      <c r="J867" s="134"/>
    </row>
    <row r="868" spans="1:10" s="1" customFormat="1" x14ac:dyDescent="0.25">
      <c r="A868" s="33"/>
      <c r="C868" s="4"/>
      <c r="E868" s="30"/>
      <c r="J868" s="134"/>
    </row>
    <row r="869" spans="1:10" s="1" customFormat="1" x14ac:dyDescent="0.25">
      <c r="A869" s="33"/>
      <c r="C869" s="4"/>
      <c r="E869" s="30"/>
      <c r="J869" s="134"/>
    </row>
    <row r="870" spans="1:10" s="1" customFormat="1" x14ac:dyDescent="0.25">
      <c r="A870" s="33"/>
      <c r="C870" s="4"/>
      <c r="E870" s="30"/>
      <c r="J870" s="134"/>
    </row>
    <row r="871" spans="1:10" s="1" customFormat="1" x14ac:dyDescent="0.25">
      <c r="A871" s="33"/>
      <c r="C871" s="4"/>
      <c r="E871" s="30"/>
      <c r="J871" s="134"/>
    </row>
    <row r="872" spans="1:10" s="1" customFormat="1" x14ac:dyDescent="0.25">
      <c r="A872" s="33"/>
      <c r="C872" s="4"/>
      <c r="E872" s="30"/>
      <c r="J872" s="134"/>
    </row>
    <row r="873" spans="1:10" s="1" customFormat="1" x14ac:dyDescent="0.25">
      <c r="A873" s="33"/>
      <c r="C873" s="4"/>
      <c r="E873" s="30"/>
      <c r="J873" s="134"/>
    </row>
    <row r="874" spans="1:10" s="1" customFormat="1" x14ac:dyDescent="0.25">
      <c r="A874" s="33"/>
      <c r="C874" s="4"/>
      <c r="E874" s="30"/>
      <c r="J874" s="134"/>
    </row>
    <row r="875" spans="1:10" s="1" customFormat="1" x14ac:dyDescent="0.25">
      <c r="A875" s="33"/>
      <c r="C875" s="4"/>
      <c r="E875" s="30"/>
      <c r="J875" s="134"/>
    </row>
    <row r="876" spans="1:10" s="1" customFormat="1" x14ac:dyDescent="0.25">
      <c r="A876" s="33"/>
      <c r="C876" s="4"/>
      <c r="E876" s="30"/>
      <c r="J876" s="134"/>
    </row>
    <row r="877" spans="1:10" s="1" customFormat="1" x14ac:dyDescent="0.25">
      <c r="A877" s="33"/>
      <c r="C877" s="4"/>
      <c r="E877" s="30"/>
      <c r="J877" s="134"/>
    </row>
    <row r="878" spans="1:10" s="1" customFormat="1" x14ac:dyDescent="0.25">
      <c r="A878" s="33"/>
      <c r="C878" s="4"/>
      <c r="E878" s="30"/>
      <c r="J878" s="134"/>
    </row>
    <row r="879" spans="1:10" s="1" customFormat="1" x14ac:dyDescent="0.25">
      <c r="A879" s="33"/>
      <c r="C879" s="4"/>
      <c r="E879" s="30"/>
      <c r="J879" s="134"/>
    </row>
    <row r="880" spans="1:10" s="1" customFormat="1" x14ac:dyDescent="0.25">
      <c r="A880" s="33"/>
      <c r="C880" s="4"/>
      <c r="E880" s="30"/>
      <c r="J880" s="134"/>
    </row>
    <row r="881" spans="1:10" s="1" customFormat="1" x14ac:dyDescent="0.25">
      <c r="A881" s="33"/>
      <c r="C881" s="4"/>
      <c r="E881" s="30"/>
      <c r="J881" s="134"/>
    </row>
    <row r="882" spans="1:10" s="1" customFormat="1" x14ac:dyDescent="0.25">
      <c r="A882" s="33"/>
      <c r="C882" s="4"/>
      <c r="E882" s="30"/>
      <c r="J882" s="134"/>
    </row>
    <row r="883" spans="1:10" s="1" customFormat="1" x14ac:dyDescent="0.25">
      <c r="A883" s="33"/>
      <c r="C883" s="4"/>
      <c r="E883" s="30"/>
      <c r="J883" s="134"/>
    </row>
    <row r="884" spans="1:10" s="1" customFormat="1" x14ac:dyDescent="0.25">
      <c r="A884" s="33"/>
      <c r="C884" s="4"/>
      <c r="E884" s="30"/>
      <c r="J884" s="134"/>
    </row>
    <row r="885" spans="1:10" s="1" customFormat="1" x14ac:dyDescent="0.25">
      <c r="A885" s="33"/>
      <c r="C885" s="4"/>
      <c r="E885" s="30"/>
      <c r="J885" s="134"/>
    </row>
    <row r="886" spans="1:10" s="1" customFormat="1" x14ac:dyDescent="0.25">
      <c r="A886" s="33"/>
      <c r="C886" s="4"/>
      <c r="E886" s="30"/>
      <c r="J886" s="134"/>
    </row>
    <row r="887" spans="1:10" s="1" customFormat="1" x14ac:dyDescent="0.25">
      <c r="A887" s="33"/>
      <c r="C887" s="4"/>
      <c r="E887" s="30"/>
      <c r="J887" s="134"/>
    </row>
    <row r="888" spans="1:10" s="1" customFormat="1" x14ac:dyDescent="0.25">
      <c r="A888" s="33"/>
      <c r="C888" s="4"/>
      <c r="E888" s="30"/>
      <c r="J888" s="134"/>
    </row>
    <row r="889" spans="1:10" s="1" customFormat="1" x14ac:dyDescent="0.25">
      <c r="A889" s="33"/>
      <c r="C889" s="4"/>
      <c r="E889" s="30"/>
      <c r="J889" s="134"/>
    </row>
    <row r="890" spans="1:10" s="1" customFormat="1" x14ac:dyDescent="0.25">
      <c r="A890" s="33"/>
      <c r="C890" s="4"/>
      <c r="E890" s="30"/>
      <c r="J890" s="134"/>
    </row>
    <row r="891" spans="1:10" s="1" customFormat="1" x14ac:dyDescent="0.25">
      <c r="A891" s="33"/>
      <c r="C891" s="4"/>
      <c r="E891" s="30"/>
      <c r="J891" s="134"/>
    </row>
    <row r="892" spans="1:10" s="1" customFormat="1" x14ac:dyDescent="0.25">
      <c r="A892" s="33"/>
      <c r="C892" s="4"/>
      <c r="E892" s="30"/>
      <c r="J892" s="134"/>
    </row>
    <row r="893" spans="1:10" s="1" customFormat="1" x14ac:dyDescent="0.25">
      <c r="A893" s="33"/>
      <c r="C893" s="4"/>
      <c r="E893" s="30"/>
      <c r="J893" s="134"/>
    </row>
    <row r="894" spans="1:10" s="1" customFormat="1" x14ac:dyDescent="0.25">
      <c r="A894" s="33"/>
      <c r="C894" s="4"/>
      <c r="E894" s="30"/>
      <c r="J894" s="134"/>
    </row>
    <row r="895" spans="1:10" s="1" customFormat="1" x14ac:dyDescent="0.25">
      <c r="A895" s="33"/>
      <c r="C895" s="4"/>
      <c r="E895" s="30"/>
      <c r="J895" s="134"/>
    </row>
    <row r="896" spans="1:10" s="1" customFormat="1" x14ac:dyDescent="0.25">
      <c r="A896" s="33"/>
      <c r="C896" s="4"/>
      <c r="E896" s="30"/>
      <c r="J896" s="134"/>
    </row>
    <row r="897" spans="1:10" s="1" customFormat="1" x14ac:dyDescent="0.25">
      <c r="A897" s="33"/>
      <c r="C897" s="4"/>
      <c r="E897" s="30"/>
      <c r="J897" s="134"/>
    </row>
    <row r="898" spans="1:10" s="1" customFormat="1" x14ac:dyDescent="0.25">
      <c r="A898" s="33"/>
      <c r="C898" s="4"/>
      <c r="E898" s="30"/>
      <c r="J898" s="134"/>
    </row>
    <row r="899" spans="1:10" s="1" customFormat="1" x14ac:dyDescent="0.25">
      <c r="A899" s="33"/>
      <c r="C899" s="4"/>
      <c r="E899" s="30"/>
      <c r="J899" s="134"/>
    </row>
    <row r="900" spans="1:10" s="1" customFormat="1" x14ac:dyDescent="0.25">
      <c r="A900" s="33"/>
      <c r="C900" s="4"/>
      <c r="E900" s="30"/>
      <c r="J900" s="134"/>
    </row>
    <row r="901" spans="1:10" s="1" customFormat="1" x14ac:dyDescent="0.25">
      <c r="A901" s="33"/>
      <c r="C901" s="4"/>
      <c r="E901" s="30"/>
      <c r="J901" s="134"/>
    </row>
    <row r="902" spans="1:10" s="1" customFormat="1" x14ac:dyDescent="0.25">
      <c r="A902" s="33"/>
      <c r="C902" s="4"/>
      <c r="E902" s="30"/>
      <c r="J902" s="134"/>
    </row>
    <row r="903" spans="1:10" s="1" customFormat="1" x14ac:dyDescent="0.25">
      <c r="A903" s="33"/>
      <c r="C903" s="4"/>
      <c r="E903" s="30"/>
      <c r="J903" s="134"/>
    </row>
    <row r="904" spans="1:10" s="1" customFormat="1" x14ac:dyDescent="0.25">
      <c r="A904" s="33"/>
      <c r="C904" s="4"/>
      <c r="E904" s="30"/>
      <c r="J904" s="134"/>
    </row>
    <row r="905" spans="1:10" s="1" customFormat="1" x14ac:dyDescent="0.25">
      <c r="A905" s="33"/>
      <c r="C905" s="4"/>
      <c r="E905" s="30"/>
      <c r="J905" s="134"/>
    </row>
    <row r="906" spans="1:10" s="1" customFormat="1" x14ac:dyDescent="0.25">
      <c r="A906" s="33"/>
      <c r="C906" s="4"/>
      <c r="E906" s="30"/>
      <c r="J906" s="134"/>
    </row>
    <row r="907" spans="1:10" s="1" customFormat="1" x14ac:dyDescent="0.25">
      <c r="A907" s="33"/>
      <c r="C907" s="4"/>
      <c r="E907" s="30"/>
      <c r="J907" s="134"/>
    </row>
    <row r="908" spans="1:10" s="1" customFormat="1" x14ac:dyDescent="0.25">
      <c r="A908" s="33"/>
      <c r="C908" s="4"/>
      <c r="E908" s="30"/>
      <c r="J908" s="134"/>
    </row>
    <row r="909" spans="1:10" s="1" customFormat="1" x14ac:dyDescent="0.25">
      <c r="A909" s="33"/>
      <c r="C909" s="4"/>
      <c r="E909" s="30"/>
      <c r="J909" s="134"/>
    </row>
    <row r="910" spans="1:10" s="1" customFormat="1" x14ac:dyDescent="0.25">
      <c r="A910" s="33"/>
      <c r="C910" s="4"/>
      <c r="E910" s="30"/>
      <c r="J910" s="134"/>
    </row>
    <row r="911" spans="1:10" s="1" customFormat="1" x14ac:dyDescent="0.25">
      <c r="A911" s="33"/>
      <c r="C911" s="4"/>
      <c r="E911" s="30"/>
      <c r="J911" s="134"/>
    </row>
    <row r="912" spans="1:10" s="1" customFormat="1" x14ac:dyDescent="0.25">
      <c r="A912" s="33"/>
      <c r="C912" s="4"/>
      <c r="E912" s="30"/>
      <c r="J912" s="134"/>
    </row>
    <row r="913" spans="1:10" s="1" customFormat="1" x14ac:dyDescent="0.25">
      <c r="A913" s="33"/>
      <c r="C913" s="4"/>
      <c r="E913" s="30"/>
      <c r="J913" s="134"/>
    </row>
    <row r="914" spans="1:10" s="1" customFormat="1" x14ac:dyDescent="0.25">
      <c r="A914" s="33"/>
      <c r="C914" s="4"/>
      <c r="E914" s="30"/>
      <c r="J914" s="134"/>
    </row>
    <row r="915" spans="1:10" s="1" customFormat="1" x14ac:dyDescent="0.25">
      <c r="A915" s="33"/>
      <c r="C915" s="4"/>
      <c r="E915" s="30"/>
      <c r="J915" s="134"/>
    </row>
    <row r="916" spans="1:10" s="1" customFormat="1" x14ac:dyDescent="0.25">
      <c r="A916" s="33"/>
      <c r="C916" s="4"/>
      <c r="E916" s="30"/>
      <c r="J916" s="134"/>
    </row>
    <row r="917" spans="1:10" s="1" customFormat="1" x14ac:dyDescent="0.25">
      <c r="A917" s="33"/>
      <c r="C917" s="4"/>
      <c r="E917" s="30"/>
      <c r="J917" s="134"/>
    </row>
    <row r="918" spans="1:10" s="1" customFormat="1" x14ac:dyDescent="0.25">
      <c r="A918" s="33"/>
      <c r="C918" s="4"/>
      <c r="E918" s="30"/>
      <c r="J918" s="134"/>
    </row>
    <row r="919" spans="1:10" s="1" customFormat="1" x14ac:dyDescent="0.25">
      <c r="A919" s="33"/>
      <c r="C919" s="4"/>
      <c r="E919" s="30"/>
      <c r="J919" s="134"/>
    </row>
    <row r="920" spans="1:10" s="1" customFormat="1" x14ac:dyDescent="0.25">
      <c r="A920" s="33"/>
      <c r="C920" s="4"/>
      <c r="E920" s="30"/>
      <c r="J920" s="134"/>
    </row>
    <row r="921" spans="1:10" s="1" customFormat="1" x14ac:dyDescent="0.25">
      <c r="A921" s="33"/>
      <c r="C921" s="4"/>
      <c r="E921" s="30"/>
      <c r="J921" s="134"/>
    </row>
    <row r="922" spans="1:10" s="1" customFormat="1" x14ac:dyDescent="0.25">
      <c r="A922" s="33"/>
      <c r="C922" s="4"/>
      <c r="E922" s="30"/>
      <c r="J922" s="134"/>
    </row>
    <row r="923" spans="1:10" s="1" customFormat="1" x14ac:dyDescent="0.25">
      <c r="A923" s="33"/>
      <c r="C923" s="4"/>
      <c r="E923" s="30"/>
      <c r="J923" s="134"/>
    </row>
    <row r="924" spans="1:10" s="1" customFormat="1" x14ac:dyDescent="0.25">
      <c r="A924" s="33"/>
      <c r="C924" s="4"/>
      <c r="E924" s="30"/>
      <c r="J924" s="134"/>
    </row>
    <row r="925" spans="1:10" s="1" customFormat="1" x14ac:dyDescent="0.25">
      <c r="A925" s="33"/>
      <c r="C925" s="4"/>
      <c r="E925" s="30"/>
      <c r="J925" s="134"/>
    </row>
    <row r="926" spans="1:10" s="1" customFormat="1" x14ac:dyDescent="0.25">
      <c r="A926" s="33"/>
      <c r="C926" s="4"/>
      <c r="E926" s="30"/>
      <c r="J926" s="134"/>
    </row>
    <row r="927" spans="1:10" s="1" customFormat="1" x14ac:dyDescent="0.25">
      <c r="A927" s="33"/>
      <c r="C927" s="4"/>
      <c r="E927" s="30"/>
      <c r="J927" s="134"/>
    </row>
    <row r="928" spans="1:10" s="1" customFormat="1" x14ac:dyDescent="0.25">
      <c r="A928" s="33"/>
      <c r="C928" s="4"/>
      <c r="E928" s="30"/>
      <c r="J928" s="134"/>
    </row>
    <row r="929" spans="1:10" s="1" customFormat="1" x14ac:dyDescent="0.25">
      <c r="A929" s="33"/>
      <c r="C929" s="4"/>
      <c r="E929" s="30"/>
      <c r="J929" s="134"/>
    </row>
    <row r="930" spans="1:10" s="1" customFormat="1" x14ac:dyDescent="0.25">
      <c r="A930" s="33"/>
      <c r="C930" s="4"/>
      <c r="E930" s="30"/>
      <c r="J930" s="134"/>
    </row>
    <row r="931" spans="1:10" s="1" customFormat="1" x14ac:dyDescent="0.25">
      <c r="A931" s="33"/>
      <c r="C931" s="4"/>
      <c r="E931" s="30"/>
      <c r="J931" s="134"/>
    </row>
    <row r="932" spans="1:10" s="1" customFormat="1" x14ac:dyDescent="0.25">
      <c r="A932" s="33"/>
      <c r="C932" s="4"/>
      <c r="E932" s="30"/>
      <c r="J932" s="134"/>
    </row>
    <row r="933" spans="1:10" s="1" customFormat="1" x14ac:dyDescent="0.25">
      <c r="A933" s="33"/>
      <c r="C933" s="4"/>
      <c r="E933" s="30"/>
      <c r="J933" s="134"/>
    </row>
    <row r="934" spans="1:10" s="1" customFormat="1" x14ac:dyDescent="0.25">
      <c r="A934" s="33"/>
      <c r="C934" s="4"/>
      <c r="E934" s="30"/>
      <c r="J934" s="134"/>
    </row>
    <row r="935" spans="1:10" s="1" customFormat="1" x14ac:dyDescent="0.25">
      <c r="A935" s="33"/>
      <c r="C935" s="4"/>
      <c r="E935" s="30"/>
      <c r="J935" s="134"/>
    </row>
    <row r="936" spans="1:10" s="1" customFormat="1" x14ac:dyDescent="0.25">
      <c r="A936" s="33"/>
      <c r="C936" s="4"/>
      <c r="E936" s="30"/>
      <c r="J936" s="134"/>
    </row>
    <row r="937" spans="1:10" s="1" customFormat="1" x14ac:dyDescent="0.25">
      <c r="A937" s="33"/>
      <c r="C937" s="4"/>
      <c r="E937" s="30"/>
      <c r="J937" s="134"/>
    </row>
    <row r="938" spans="1:10" s="1" customFormat="1" x14ac:dyDescent="0.25">
      <c r="A938" s="33"/>
      <c r="C938" s="4"/>
      <c r="E938" s="30"/>
      <c r="J938" s="134"/>
    </row>
    <row r="939" spans="1:10" s="1" customFormat="1" x14ac:dyDescent="0.25">
      <c r="A939" s="33"/>
      <c r="C939" s="4"/>
      <c r="E939" s="30"/>
      <c r="J939" s="134"/>
    </row>
    <row r="940" spans="1:10" s="1" customFormat="1" x14ac:dyDescent="0.25">
      <c r="A940" s="33"/>
      <c r="C940" s="4"/>
      <c r="E940" s="30"/>
      <c r="J940" s="134"/>
    </row>
    <row r="941" spans="1:10" s="1" customFormat="1" x14ac:dyDescent="0.25">
      <c r="A941" s="33"/>
      <c r="C941" s="4"/>
      <c r="E941" s="30"/>
      <c r="J941" s="134"/>
    </row>
    <row r="942" spans="1:10" s="1" customFormat="1" x14ac:dyDescent="0.25">
      <c r="A942" s="33"/>
      <c r="C942" s="4"/>
      <c r="E942" s="30"/>
      <c r="J942" s="134"/>
    </row>
    <row r="943" spans="1:10" s="1" customFormat="1" x14ac:dyDescent="0.25">
      <c r="A943" s="33"/>
      <c r="C943" s="4"/>
      <c r="E943" s="30"/>
      <c r="J943" s="134"/>
    </row>
    <row r="944" spans="1:10" s="1" customFormat="1" x14ac:dyDescent="0.25">
      <c r="A944" s="33"/>
      <c r="C944" s="4"/>
      <c r="E944" s="30"/>
      <c r="J944" s="134"/>
    </row>
    <row r="945" spans="1:10" s="1" customFormat="1" x14ac:dyDescent="0.25">
      <c r="A945" s="33"/>
      <c r="C945" s="4"/>
      <c r="E945" s="30"/>
      <c r="J945" s="134"/>
    </row>
    <row r="946" spans="1:10" s="1" customFormat="1" x14ac:dyDescent="0.25">
      <c r="A946" s="33"/>
      <c r="C946" s="4"/>
      <c r="E946" s="30"/>
      <c r="J946" s="134"/>
    </row>
    <row r="947" spans="1:10" s="1" customFormat="1" x14ac:dyDescent="0.25">
      <c r="A947" s="33"/>
      <c r="C947" s="4"/>
      <c r="E947" s="30"/>
      <c r="J947" s="134"/>
    </row>
    <row r="948" spans="1:10" s="1" customFormat="1" x14ac:dyDescent="0.25">
      <c r="A948" s="33"/>
      <c r="C948" s="4"/>
      <c r="E948" s="30"/>
      <c r="J948" s="134"/>
    </row>
    <row r="949" spans="1:10" s="1" customFormat="1" x14ac:dyDescent="0.25">
      <c r="A949" s="33"/>
      <c r="C949" s="4"/>
      <c r="E949" s="30"/>
      <c r="J949" s="134"/>
    </row>
    <row r="950" spans="1:10" s="1" customFormat="1" x14ac:dyDescent="0.25">
      <c r="A950" s="33"/>
      <c r="C950" s="4"/>
      <c r="E950" s="30"/>
      <c r="J950" s="134"/>
    </row>
    <row r="951" spans="1:10" s="1" customFormat="1" x14ac:dyDescent="0.25">
      <c r="A951" s="33"/>
      <c r="C951" s="4"/>
      <c r="E951" s="30"/>
      <c r="J951" s="134"/>
    </row>
    <row r="952" spans="1:10" s="1" customFormat="1" x14ac:dyDescent="0.25">
      <c r="A952" s="33"/>
      <c r="C952" s="4"/>
      <c r="E952" s="30"/>
      <c r="J952" s="134"/>
    </row>
    <row r="953" spans="1:10" s="1" customFormat="1" x14ac:dyDescent="0.25">
      <c r="A953" s="33"/>
      <c r="C953" s="4"/>
      <c r="E953" s="30"/>
      <c r="J953" s="134"/>
    </row>
    <row r="954" spans="1:10" s="1" customFormat="1" x14ac:dyDescent="0.25">
      <c r="A954" s="33"/>
      <c r="C954" s="4"/>
      <c r="E954" s="30"/>
      <c r="J954" s="134"/>
    </row>
    <row r="955" spans="1:10" s="1" customFormat="1" x14ac:dyDescent="0.25">
      <c r="A955" s="33"/>
      <c r="C955" s="4"/>
      <c r="E955" s="30"/>
      <c r="J955" s="134"/>
    </row>
    <row r="956" spans="1:10" s="1" customFormat="1" x14ac:dyDescent="0.25">
      <c r="A956" s="33"/>
      <c r="C956" s="4"/>
      <c r="E956" s="30"/>
      <c r="J956" s="134"/>
    </row>
    <row r="957" spans="1:10" s="1" customFormat="1" x14ac:dyDescent="0.25">
      <c r="A957" s="33"/>
      <c r="C957" s="4"/>
      <c r="E957" s="30"/>
      <c r="J957" s="134"/>
    </row>
    <row r="958" spans="1:10" s="1" customFormat="1" x14ac:dyDescent="0.25">
      <c r="A958" s="33"/>
      <c r="C958" s="4"/>
      <c r="E958" s="30"/>
      <c r="J958" s="134"/>
    </row>
    <row r="959" spans="1:10" s="1" customFormat="1" x14ac:dyDescent="0.25">
      <c r="A959" s="33"/>
      <c r="C959" s="4"/>
      <c r="E959" s="30"/>
      <c r="J959" s="134"/>
    </row>
    <row r="960" spans="1:10" s="1" customFormat="1" x14ac:dyDescent="0.25">
      <c r="A960" s="33"/>
      <c r="C960" s="4"/>
      <c r="E960" s="30"/>
      <c r="J960" s="134"/>
    </row>
    <row r="961" spans="1:10" s="1" customFormat="1" x14ac:dyDescent="0.25">
      <c r="A961" s="33"/>
      <c r="C961" s="4"/>
      <c r="E961" s="30"/>
      <c r="J961" s="134"/>
    </row>
    <row r="962" spans="1:10" s="1" customFormat="1" x14ac:dyDescent="0.25">
      <c r="A962" s="33"/>
      <c r="C962" s="4"/>
      <c r="E962" s="30"/>
      <c r="J962" s="134"/>
    </row>
    <row r="963" spans="1:10" s="1" customFormat="1" x14ac:dyDescent="0.25">
      <c r="A963" s="33"/>
      <c r="C963" s="4"/>
      <c r="E963" s="30"/>
      <c r="J963" s="134"/>
    </row>
    <row r="964" spans="1:10" s="1" customFormat="1" x14ac:dyDescent="0.25">
      <c r="A964" s="33"/>
      <c r="C964" s="4"/>
      <c r="E964" s="30"/>
      <c r="J964" s="134"/>
    </row>
    <row r="965" spans="1:10" s="1" customFormat="1" x14ac:dyDescent="0.25">
      <c r="A965" s="33"/>
      <c r="C965" s="4"/>
      <c r="E965" s="30"/>
      <c r="J965" s="134"/>
    </row>
    <row r="966" spans="1:10" s="1" customFormat="1" x14ac:dyDescent="0.25">
      <c r="A966" s="33"/>
      <c r="C966" s="4"/>
      <c r="E966" s="30"/>
      <c r="J966" s="134"/>
    </row>
    <row r="967" spans="1:10" s="1" customFormat="1" x14ac:dyDescent="0.25">
      <c r="A967" s="33"/>
      <c r="C967" s="4"/>
      <c r="E967" s="30"/>
      <c r="J967" s="134"/>
    </row>
    <row r="968" spans="1:10" s="1" customFormat="1" x14ac:dyDescent="0.25">
      <c r="A968" s="33"/>
      <c r="C968" s="4"/>
      <c r="E968" s="30"/>
      <c r="J968" s="134"/>
    </row>
    <row r="969" spans="1:10" s="1" customFormat="1" x14ac:dyDescent="0.25">
      <c r="A969" s="33"/>
      <c r="C969" s="4"/>
      <c r="E969" s="30"/>
      <c r="J969" s="134"/>
    </row>
    <row r="970" spans="1:10" s="1" customFormat="1" x14ac:dyDescent="0.25">
      <c r="A970" s="33"/>
      <c r="C970" s="4"/>
      <c r="E970" s="30"/>
      <c r="J970" s="134"/>
    </row>
    <row r="971" spans="1:10" s="1" customFormat="1" x14ac:dyDescent="0.25">
      <c r="A971" s="33"/>
      <c r="C971" s="4"/>
      <c r="E971" s="30"/>
      <c r="J971" s="134"/>
    </row>
    <row r="972" spans="1:10" s="1" customFormat="1" x14ac:dyDescent="0.25">
      <c r="A972" s="33"/>
      <c r="C972" s="4"/>
      <c r="E972" s="30"/>
      <c r="J972" s="134"/>
    </row>
    <row r="973" spans="1:10" s="1" customFormat="1" x14ac:dyDescent="0.25">
      <c r="A973" s="33"/>
      <c r="C973" s="4"/>
      <c r="E973" s="30"/>
      <c r="J973" s="134"/>
    </row>
    <row r="974" spans="1:10" s="1" customFormat="1" x14ac:dyDescent="0.25">
      <c r="A974" s="33"/>
      <c r="C974" s="4"/>
      <c r="E974" s="30"/>
      <c r="J974" s="134"/>
    </row>
    <row r="975" spans="1:10" s="1" customFormat="1" x14ac:dyDescent="0.25">
      <c r="A975" s="33"/>
      <c r="C975" s="4"/>
      <c r="E975" s="30"/>
      <c r="J975" s="134"/>
    </row>
    <row r="976" spans="1:10" s="1" customFormat="1" x14ac:dyDescent="0.25">
      <c r="A976" s="33"/>
      <c r="C976" s="4"/>
      <c r="E976" s="30"/>
      <c r="J976" s="134"/>
    </row>
    <row r="977" spans="1:10" s="1" customFormat="1" x14ac:dyDescent="0.25">
      <c r="A977" s="33"/>
      <c r="C977" s="4"/>
      <c r="E977" s="30"/>
      <c r="J977" s="134"/>
    </row>
    <row r="978" spans="1:10" s="1" customFormat="1" x14ac:dyDescent="0.25">
      <c r="A978" s="33"/>
      <c r="C978" s="4"/>
      <c r="E978" s="30"/>
      <c r="J978" s="134"/>
    </row>
    <row r="979" spans="1:10" s="1" customFormat="1" x14ac:dyDescent="0.25">
      <c r="A979" s="33"/>
      <c r="C979" s="4"/>
      <c r="E979" s="30"/>
      <c r="J979" s="134"/>
    </row>
    <row r="980" spans="1:10" s="1" customFormat="1" x14ac:dyDescent="0.25">
      <c r="A980" s="33"/>
      <c r="C980" s="4"/>
      <c r="E980" s="30"/>
      <c r="J980" s="134"/>
    </row>
    <row r="981" spans="1:10" s="1" customFormat="1" x14ac:dyDescent="0.25">
      <c r="A981" s="33"/>
      <c r="C981" s="4"/>
      <c r="E981" s="30"/>
      <c r="J981" s="134"/>
    </row>
    <row r="982" spans="1:10" s="1" customFormat="1" x14ac:dyDescent="0.25">
      <c r="A982" s="33"/>
      <c r="C982" s="4"/>
      <c r="E982" s="30"/>
      <c r="J982" s="134"/>
    </row>
    <row r="983" spans="1:10" s="1" customFormat="1" x14ac:dyDescent="0.25">
      <c r="A983" s="33"/>
      <c r="C983" s="4"/>
      <c r="E983" s="30"/>
      <c r="J983" s="134"/>
    </row>
    <row r="984" spans="1:10" s="1" customFormat="1" x14ac:dyDescent="0.25">
      <c r="A984" s="33"/>
      <c r="C984" s="4"/>
      <c r="E984" s="30"/>
      <c r="J984" s="134"/>
    </row>
    <row r="985" spans="1:10" s="1" customFormat="1" x14ac:dyDescent="0.25">
      <c r="A985" s="33"/>
      <c r="C985" s="4"/>
      <c r="E985" s="30"/>
      <c r="J985" s="134"/>
    </row>
    <row r="986" spans="1:10" s="1" customFormat="1" x14ac:dyDescent="0.25">
      <c r="A986" s="33"/>
      <c r="C986" s="4"/>
      <c r="E986" s="30"/>
      <c r="J986" s="134"/>
    </row>
    <row r="987" spans="1:10" s="1" customFormat="1" x14ac:dyDescent="0.25">
      <c r="A987" s="33"/>
      <c r="C987" s="4"/>
      <c r="E987" s="30"/>
      <c r="J987" s="134"/>
    </row>
    <row r="988" spans="1:10" s="1" customFormat="1" x14ac:dyDescent="0.25">
      <c r="A988" s="33"/>
      <c r="C988" s="4"/>
      <c r="E988" s="30"/>
      <c r="J988" s="134"/>
    </row>
    <row r="989" spans="1:10" s="1" customFormat="1" x14ac:dyDescent="0.25">
      <c r="A989" s="33"/>
      <c r="C989" s="4"/>
      <c r="E989" s="30"/>
      <c r="J989" s="134"/>
    </row>
    <row r="990" spans="1:10" s="1" customFormat="1" x14ac:dyDescent="0.25">
      <c r="A990" s="33"/>
      <c r="C990" s="4"/>
      <c r="E990" s="30"/>
      <c r="J990" s="134"/>
    </row>
    <row r="991" spans="1:10" s="1" customFormat="1" x14ac:dyDescent="0.25">
      <c r="A991" s="33"/>
      <c r="C991" s="4"/>
      <c r="E991" s="30"/>
      <c r="J991" s="134"/>
    </row>
    <row r="992" spans="1:10" s="1" customFormat="1" x14ac:dyDescent="0.25">
      <c r="A992" s="33"/>
      <c r="C992" s="4"/>
      <c r="E992" s="30"/>
      <c r="J992" s="134"/>
    </row>
    <row r="993" spans="1:10" s="1" customFormat="1" x14ac:dyDescent="0.25">
      <c r="A993" s="33"/>
      <c r="C993" s="4"/>
      <c r="E993" s="30"/>
      <c r="J993" s="134"/>
    </row>
    <row r="994" spans="1:10" s="1" customFormat="1" x14ac:dyDescent="0.25">
      <c r="A994" s="33"/>
      <c r="C994" s="4"/>
      <c r="E994" s="30"/>
      <c r="J994" s="134"/>
    </row>
    <row r="995" spans="1:10" s="1" customFormat="1" x14ac:dyDescent="0.25">
      <c r="A995" s="33"/>
      <c r="C995" s="4"/>
      <c r="E995" s="30"/>
      <c r="J995" s="134"/>
    </row>
    <row r="996" spans="1:10" s="1" customFormat="1" x14ac:dyDescent="0.25">
      <c r="A996" s="33"/>
      <c r="C996" s="4"/>
      <c r="E996" s="30"/>
      <c r="J996" s="134"/>
    </row>
    <row r="997" spans="1:10" s="1" customFormat="1" x14ac:dyDescent="0.25">
      <c r="A997" s="33"/>
      <c r="C997" s="4"/>
      <c r="E997" s="30"/>
      <c r="J997" s="134"/>
    </row>
    <row r="998" spans="1:10" s="1" customFormat="1" x14ac:dyDescent="0.25">
      <c r="A998" s="33"/>
      <c r="C998" s="4"/>
      <c r="E998" s="30"/>
      <c r="J998" s="134"/>
    </row>
    <row r="999" spans="1:10" s="1" customFormat="1" x14ac:dyDescent="0.25">
      <c r="A999" s="33"/>
      <c r="C999" s="4"/>
      <c r="E999" s="30"/>
      <c r="J999" s="134"/>
    </row>
    <row r="1000" spans="1:10" s="1" customFormat="1" x14ac:dyDescent="0.25">
      <c r="A1000" s="33"/>
      <c r="C1000" s="4"/>
      <c r="E1000" s="30"/>
      <c r="J1000" s="134"/>
    </row>
    <row r="1001" spans="1:10" s="1" customFormat="1" x14ac:dyDescent="0.25">
      <c r="A1001" s="33"/>
      <c r="C1001" s="4"/>
      <c r="E1001" s="30"/>
      <c r="J1001" s="134"/>
    </row>
    <row r="1002" spans="1:10" s="1" customFormat="1" x14ac:dyDescent="0.25">
      <c r="A1002" s="33"/>
      <c r="C1002" s="4"/>
      <c r="E1002" s="30"/>
      <c r="J1002" s="134"/>
    </row>
    <row r="1003" spans="1:10" s="1" customFormat="1" x14ac:dyDescent="0.25">
      <c r="A1003" s="33"/>
      <c r="C1003" s="4"/>
      <c r="E1003" s="30"/>
      <c r="J1003" s="134"/>
    </row>
    <row r="1004" spans="1:10" s="1" customFormat="1" x14ac:dyDescent="0.25">
      <c r="A1004" s="33"/>
      <c r="C1004" s="4"/>
      <c r="E1004" s="30"/>
      <c r="J1004" s="134"/>
    </row>
    <row r="1005" spans="1:10" s="1" customFormat="1" x14ac:dyDescent="0.25">
      <c r="A1005" s="33"/>
      <c r="C1005" s="4"/>
      <c r="E1005" s="30"/>
      <c r="J1005" s="134"/>
    </row>
    <row r="1006" spans="1:10" s="1" customFormat="1" x14ac:dyDescent="0.25">
      <c r="A1006" s="33"/>
      <c r="C1006" s="4"/>
      <c r="E1006" s="30"/>
      <c r="J1006" s="134"/>
    </row>
    <row r="1007" spans="1:10" s="1" customFormat="1" x14ac:dyDescent="0.25">
      <c r="A1007" s="33"/>
      <c r="C1007" s="4"/>
      <c r="E1007" s="30"/>
      <c r="J1007" s="134"/>
    </row>
    <row r="1008" spans="1:10" s="1" customFormat="1" x14ac:dyDescent="0.25">
      <c r="A1008" s="33"/>
      <c r="C1008" s="4"/>
      <c r="E1008" s="30"/>
      <c r="J1008" s="134"/>
    </row>
    <row r="1009" spans="1:10" s="1" customFormat="1" x14ac:dyDescent="0.25">
      <c r="A1009" s="33"/>
      <c r="C1009" s="4"/>
      <c r="E1009" s="30"/>
      <c r="J1009" s="134"/>
    </row>
    <row r="1010" spans="1:10" s="1" customFormat="1" x14ac:dyDescent="0.25">
      <c r="A1010" s="33"/>
      <c r="C1010" s="4"/>
      <c r="E1010" s="30"/>
      <c r="J1010" s="134"/>
    </row>
    <row r="1011" spans="1:10" s="1" customFormat="1" x14ac:dyDescent="0.25">
      <c r="A1011" s="33"/>
      <c r="C1011" s="4"/>
      <c r="E1011" s="30"/>
      <c r="J1011" s="134"/>
    </row>
    <row r="1012" spans="1:10" s="1" customFormat="1" x14ac:dyDescent="0.25">
      <c r="A1012" s="33"/>
      <c r="C1012" s="4"/>
      <c r="E1012" s="30"/>
      <c r="J1012" s="134"/>
    </row>
    <row r="1013" spans="1:10" s="1" customFormat="1" x14ac:dyDescent="0.25">
      <c r="A1013" s="33"/>
      <c r="C1013" s="4"/>
      <c r="E1013" s="30"/>
      <c r="J1013" s="134"/>
    </row>
    <row r="1014" spans="1:10" s="1" customFormat="1" x14ac:dyDescent="0.25">
      <c r="A1014" s="33"/>
      <c r="C1014" s="4"/>
      <c r="E1014" s="30"/>
      <c r="J1014" s="134"/>
    </row>
    <row r="1015" spans="1:10" s="1" customFormat="1" x14ac:dyDescent="0.25">
      <c r="A1015" s="33"/>
      <c r="C1015" s="4"/>
      <c r="E1015" s="30"/>
      <c r="J1015" s="134"/>
    </row>
    <row r="1016" spans="1:10" s="1" customFormat="1" x14ac:dyDescent="0.25">
      <c r="A1016" s="33"/>
      <c r="C1016" s="4"/>
      <c r="E1016" s="30"/>
      <c r="J1016" s="134"/>
    </row>
    <row r="1017" spans="1:10" s="1" customFormat="1" x14ac:dyDescent="0.25">
      <c r="A1017" s="33"/>
      <c r="C1017" s="4"/>
      <c r="E1017" s="30"/>
      <c r="J1017" s="134"/>
    </row>
    <row r="1018" spans="1:10" s="1" customFormat="1" x14ac:dyDescent="0.25">
      <c r="A1018" s="33"/>
      <c r="C1018" s="4"/>
      <c r="E1018" s="30"/>
      <c r="J1018" s="134"/>
    </row>
    <row r="1019" spans="1:10" s="1" customFormat="1" x14ac:dyDescent="0.25">
      <c r="A1019" s="33"/>
      <c r="C1019" s="4"/>
      <c r="E1019" s="30"/>
      <c r="J1019" s="134"/>
    </row>
    <row r="1020" spans="1:10" s="1" customFormat="1" x14ac:dyDescent="0.25">
      <c r="A1020" s="33"/>
      <c r="C1020" s="4"/>
      <c r="E1020" s="30"/>
      <c r="J1020" s="134"/>
    </row>
    <row r="1021" spans="1:10" s="1" customFormat="1" x14ac:dyDescent="0.25">
      <c r="A1021" s="33"/>
      <c r="C1021" s="4"/>
      <c r="E1021" s="30"/>
      <c r="J1021" s="134"/>
    </row>
    <row r="1022" spans="1:10" s="1" customFormat="1" x14ac:dyDescent="0.25">
      <c r="A1022" s="33"/>
      <c r="C1022" s="4"/>
      <c r="E1022" s="30"/>
      <c r="J1022" s="134"/>
    </row>
    <row r="1023" spans="1:10" s="1" customFormat="1" x14ac:dyDescent="0.25">
      <c r="A1023" s="33"/>
      <c r="C1023" s="4"/>
      <c r="E1023" s="30"/>
      <c r="J1023" s="134"/>
    </row>
    <row r="1024" spans="1:10" s="1" customFormat="1" x14ac:dyDescent="0.25">
      <c r="A1024" s="33"/>
      <c r="C1024" s="4"/>
      <c r="E1024" s="30"/>
      <c r="J1024" s="134"/>
    </row>
    <row r="1025" spans="1:10" s="1" customFormat="1" x14ac:dyDescent="0.25">
      <c r="A1025" s="33"/>
      <c r="C1025" s="4"/>
      <c r="E1025" s="30"/>
      <c r="J1025" s="134"/>
    </row>
    <row r="1026" spans="1:10" s="1" customFormat="1" x14ac:dyDescent="0.25">
      <c r="A1026" s="33"/>
      <c r="C1026" s="4"/>
      <c r="E1026" s="30"/>
      <c r="J1026" s="134"/>
    </row>
    <row r="1027" spans="1:10" s="1" customFormat="1" x14ac:dyDescent="0.25">
      <c r="A1027" s="33"/>
      <c r="C1027" s="4"/>
      <c r="E1027" s="30"/>
      <c r="J1027" s="134"/>
    </row>
    <row r="1028" spans="1:10" s="1" customFormat="1" x14ac:dyDescent="0.25">
      <c r="A1028" s="33"/>
      <c r="C1028" s="4"/>
      <c r="E1028" s="30"/>
      <c r="J1028" s="134"/>
    </row>
    <row r="1029" spans="1:10" s="1" customFormat="1" x14ac:dyDescent="0.25">
      <c r="A1029" s="33"/>
      <c r="C1029" s="4"/>
      <c r="E1029" s="30"/>
      <c r="J1029" s="134"/>
    </row>
    <row r="1030" spans="1:10" s="1" customFormat="1" x14ac:dyDescent="0.25">
      <c r="A1030" s="33"/>
      <c r="C1030" s="4"/>
      <c r="E1030" s="30"/>
      <c r="J1030" s="134"/>
    </row>
    <row r="1031" spans="1:10" s="1" customFormat="1" x14ac:dyDescent="0.25">
      <c r="A1031" s="33"/>
      <c r="C1031" s="4"/>
      <c r="E1031" s="30"/>
      <c r="J1031" s="134"/>
    </row>
    <row r="1032" spans="1:10" s="1" customFormat="1" x14ac:dyDescent="0.25">
      <c r="A1032" s="33"/>
      <c r="C1032" s="4"/>
      <c r="E1032" s="30"/>
      <c r="J1032" s="134"/>
    </row>
    <row r="1033" spans="1:10" s="1" customFormat="1" x14ac:dyDescent="0.25">
      <c r="A1033" s="33"/>
      <c r="C1033" s="4"/>
      <c r="E1033" s="30"/>
      <c r="J1033" s="134"/>
    </row>
    <row r="1034" spans="1:10" s="1" customFormat="1" x14ac:dyDescent="0.25">
      <c r="A1034" s="33"/>
      <c r="C1034" s="4"/>
      <c r="E1034" s="30"/>
      <c r="J1034" s="134"/>
    </row>
    <row r="1035" spans="1:10" s="1" customFormat="1" x14ac:dyDescent="0.25">
      <c r="A1035" s="33"/>
      <c r="C1035" s="4"/>
      <c r="E1035" s="30"/>
      <c r="J1035" s="134"/>
    </row>
    <row r="1036" spans="1:10" s="1" customFormat="1" x14ac:dyDescent="0.25">
      <c r="A1036" s="33"/>
      <c r="C1036" s="4"/>
      <c r="E1036" s="30"/>
      <c r="J1036" s="134"/>
    </row>
    <row r="1037" spans="1:10" s="1" customFormat="1" x14ac:dyDescent="0.25">
      <c r="A1037" s="33"/>
      <c r="C1037" s="4"/>
      <c r="E1037" s="30"/>
      <c r="J1037" s="134"/>
    </row>
    <row r="1038" spans="1:10" s="1" customFormat="1" x14ac:dyDescent="0.25">
      <c r="A1038" s="33"/>
      <c r="C1038" s="4"/>
      <c r="E1038" s="30"/>
      <c r="J1038" s="134"/>
    </row>
    <row r="1039" spans="1:10" s="1" customFormat="1" x14ac:dyDescent="0.25">
      <c r="A1039" s="33"/>
      <c r="C1039" s="4"/>
      <c r="E1039" s="30"/>
      <c r="J1039" s="134"/>
    </row>
    <row r="1040" spans="1:10" s="1" customFormat="1" x14ac:dyDescent="0.25">
      <c r="A1040" s="33"/>
      <c r="C1040" s="4"/>
      <c r="E1040" s="30"/>
      <c r="J1040" s="134"/>
    </row>
    <row r="1041" spans="1:10" s="1" customFormat="1" x14ac:dyDescent="0.25">
      <c r="A1041" s="33"/>
      <c r="C1041" s="4"/>
      <c r="E1041" s="30"/>
      <c r="J1041" s="134"/>
    </row>
    <row r="1042" spans="1:10" s="1" customFormat="1" x14ac:dyDescent="0.25">
      <c r="A1042" s="33"/>
      <c r="C1042" s="4"/>
      <c r="E1042" s="30"/>
      <c r="J1042" s="134"/>
    </row>
    <row r="1043" spans="1:10" s="1" customFormat="1" x14ac:dyDescent="0.25">
      <c r="A1043" s="33"/>
      <c r="C1043" s="4"/>
      <c r="E1043" s="30"/>
      <c r="J1043" s="134"/>
    </row>
    <row r="1044" spans="1:10" s="1" customFormat="1" x14ac:dyDescent="0.25">
      <c r="A1044" s="33"/>
      <c r="C1044" s="4"/>
      <c r="E1044" s="30"/>
      <c r="J1044" s="134"/>
    </row>
    <row r="1045" spans="1:10" s="1" customFormat="1" x14ac:dyDescent="0.25">
      <c r="A1045" s="33"/>
      <c r="C1045" s="4"/>
      <c r="E1045" s="30"/>
      <c r="J1045" s="134"/>
    </row>
    <row r="1046" spans="1:10" s="1" customFormat="1" x14ac:dyDescent="0.25">
      <c r="A1046" s="33"/>
      <c r="C1046" s="4"/>
      <c r="E1046" s="30"/>
      <c r="J1046" s="134"/>
    </row>
    <row r="1047" spans="1:10" s="1" customFormat="1" x14ac:dyDescent="0.25">
      <c r="A1047" s="33"/>
      <c r="C1047" s="4"/>
      <c r="E1047" s="30"/>
      <c r="J1047" s="134"/>
    </row>
    <row r="1048" spans="1:10" s="1" customFormat="1" x14ac:dyDescent="0.25">
      <c r="A1048" s="33"/>
      <c r="C1048" s="4"/>
      <c r="E1048" s="30"/>
      <c r="J1048" s="134"/>
    </row>
    <row r="1049" spans="1:10" s="1" customFormat="1" x14ac:dyDescent="0.25">
      <c r="A1049" s="33"/>
      <c r="C1049" s="4"/>
      <c r="E1049" s="30"/>
      <c r="J1049" s="134"/>
    </row>
    <row r="1050" spans="1:10" s="1" customFormat="1" x14ac:dyDescent="0.25">
      <c r="A1050" s="33"/>
      <c r="C1050" s="4"/>
      <c r="E1050" s="30"/>
      <c r="J1050" s="134"/>
    </row>
    <row r="1051" spans="1:10" s="1" customFormat="1" x14ac:dyDescent="0.25">
      <c r="A1051" s="33"/>
      <c r="C1051" s="4"/>
      <c r="E1051" s="30"/>
      <c r="J1051" s="134"/>
    </row>
    <row r="1052" spans="1:10" s="1" customFormat="1" x14ac:dyDescent="0.25">
      <c r="A1052" s="33"/>
      <c r="C1052" s="4"/>
      <c r="E1052" s="30"/>
      <c r="J1052" s="134"/>
    </row>
    <row r="1053" spans="1:10" s="1" customFormat="1" x14ac:dyDescent="0.25">
      <c r="A1053" s="33"/>
      <c r="C1053" s="4"/>
      <c r="E1053" s="30"/>
      <c r="J1053" s="134"/>
    </row>
    <row r="1054" spans="1:10" s="1" customFormat="1" x14ac:dyDescent="0.25">
      <c r="A1054" s="33"/>
      <c r="C1054" s="4"/>
      <c r="E1054" s="30"/>
      <c r="J1054" s="134"/>
    </row>
    <row r="1055" spans="1:10" s="1" customFormat="1" x14ac:dyDescent="0.25">
      <c r="A1055" s="33"/>
      <c r="C1055" s="4"/>
      <c r="E1055" s="30"/>
      <c r="J1055" s="134"/>
    </row>
    <row r="1056" spans="1:10" s="1" customFormat="1" x14ac:dyDescent="0.25">
      <c r="A1056" s="33"/>
      <c r="C1056" s="4"/>
      <c r="E1056" s="30"/>
      <c r="J1056" s="134"/>
    </row>
    <row r="1057" spans="1:10" s="1" customFormat="1" x14ac:dyDescent="0.25">
      <c r="A1057" s="33"/>
      <c r="C1057" s="4"/>
      <c r="E1057" s="30"/>
      <c r="J1057" s="134"/>
    </row>
    <row r="1058" spans="1:10" s="1" customFormat="1" x14ac:dyDescent="0.25">
      <c r="A1058" s="33"/>
      <c r="C1058" s="4"/>
      <c r="E1058" s="30"/>
      <c r="J1058" s="134"/>
    </row>
    <row r="1059" spans="1:10" s="1" customFormat="1" x14ac:dyDescent="0.25">
      <c r="A1059" s="33"/>
      <c r="C1059" s="4"/>
      <c r="E1059" s="30"/>
      <c r="J1059" s="134"/>
    </row>
    <row r="1060" spans="1:10" s="1" customFormat="1" x14ac:dyDescent="0.25">
      <c r="A1060" s="33"/>
      <c r="C1060" s="4"/>
      <c r="E1060" s="30"/>
      <c r="J1060" s="134"/>
    </row>
    <row r="1061" spans="1:10" s="1" customFormat="1" x14ac:dyDescent="0.25">
      <c r="A1061" s="33"/>
      <c r="C1061" s="4"/>
      <c r="E1061" s="30"/>
      <c r="J1061" s="134"/>
    </row>
    <row r="1062" spans="1:10" s="1" customFormat="1" x14ac:dyDescent="0.25">
      <c r="A1062" s="33"/>
      <c r="C1062" s="4"/>
      <c r="E1062" s="30"/>
      <c r="J1062" s="134"/>
    </row>
    <row r="1063" spans="1:10" s="1" customFormat="1" x14ac:dyDescent="0.25">
      <c r="A1063" s="33"/>
      <c r="C1063" s="4"/>
      <c r="E1063" s="30"/>
      <c r="J1063" s="134"/>
    </row>
    <row r="1064" spans="1:10" s="1" customFormat="1" x14ac:dyDescent="0.25">
      <c r="A1064" s="33"/>
      <c r="C1064" s="4"/>
      <c r="E1064" s="30"/>
      <c r="J1064" s="134"/>
    </row>
    <row r="1065" spans="1:10" s="1" customFormat="1" x14ac:dyDescent="0.25">
      <c r="A1065" s="33"/>
      <c r="C1065" s="4"/>
      <c r="E1065" s="30"/>
      <c r="J1065" s="134"/>
    </row>
    <row r="1066" spans="1:10" s="1" customFormat="1" x14ac:dyDescent="0.25">
      <c r="A1066" s="33"/>
      <c r="C1066" s="4"/>
      <c r="E1066" s="30"/>
      <c r="J1066" s="134"/>
    </row>
    <row r="1067" spans="1:10" s="1" customFormat="1" x14ac:dyDescent="0.25">
      <c r="A1067" s="33"/>
      <c r="C1067" s="4"/>
      <c r="E1067" s="30"/>
      <c r="J1067" s="134"/>
    </row>
    <row r="1068" spans="1:10" s="1" customFormat="1" x14ac:dyDescent="0.25">
      <c r="A1068" s="33"/>
      <c r="C1068" s="4"/>
      <c r="E1068" s="30"/>
      <c r="J1068" s="134"/>
    </row>
    <row r="1069" spans="1:10" s="1" customFormat="1" x14ac:dyDescent="0.25">
      <c r="A1069" s="33"/>
      <c r="C1069" s="4"/>
      <c r="E1069" s="30"/>
      <c r="J1069" s="134"/>
    </row>
    <row r="1070" spans="1:10" s="1" customFormat="1" x14ac:dyDescent="0.25">
      <c r="A1070" s="33"/>
      <c r="C1070" s="4"/>
      <c r="E1070" s="30"/>
      <c r="J1070" s="134"/>
    </row>
    <row r="1071" spans="1:10" s="1" customFormat="1" x14ac:dyDescent="0.25">
      <c r="A1071" s="33"/>
      <c r="C1071" s="4"/>
      <c r="E1071" s="30"/>
      <c r="J1071" s="134"/>
    </row>
    <row r="1072" spans="1:10" s="1" customFormat="1" x14ac:dyDescent="0.25">
      <c r="A1072" s="33"/>
      <c r="C1072" s="4"/>
      <c r="E1072" s="30"/>
      <c r="J1072" s="134"/>
    </row>
    <row r="1073" spans="1:10" s="1" customFormat="1" x14ac:dyDescent="0.25">
      <c r="A1073" s="33"/>
      <c r="C1073" s="4"/>
      <c r="E1073" s="30"/>
      <c r="J1073" s="134"/>
    </row>
    <row r="1074" spans="1:10" s="1" customFormat="1" x14ac:dyDescent="0.25">
      <c r="A1074" s="33"/>
      <c r="C1074" s="4"/>
      <c r="E1074" s="30"/>
      <c r="J1074" s="134"/>
    </row>
    <row r="1075" spans="1:10" s="1" customFormat="1" x14ac:dyDescent="0.25">
      <c r="A1075" s="33"/>
      <c r="C1075" s="4"/>
      <c r="E1075" s="30"/>
      <c r="J1075" s="134"/>
    </row>
    <row r="1076" spans="1:10" s="1" customFormat="1" x14ac:dyDescent="0.25">
      <c r="A1076" s="33"/>
      <c r="C1076" s="4"/>
      <c r="E1076" s="30"/>
      <c r="J1076" s="134"/>
    </row>
    <row r="1077" spans="1:10" s="1" customFormat="1" x14ac:dyDescent="0.25">
      <c r="A1077" s="33"/>
      <c r="C1077" s="4"/>
      <c r="E1077" s="30"/>
      <c r="J1077" s="134"/>
    </row>
    <row r="1078" spans="1:10" s="1" customFormat="1" x14ac:dyDescent="0.25">
      <c r="A1078" s="33"/>
      <c r="C1078" s="4"/>
      <c r="E1078" s="30"/>
      <c r="J1078" s="134"/>
    </row>
    <row r="1079" spans="1:10" s="1" customFormat="1" x14ac:dyDescent="0.25">
      <c r="A1079" s="33"/>
      <c r="C1079" s="4"/>
      <c r="E1079" s="30"/>
      <c r="J1079" s="134"/>
    </row>
    <row r="1080" spans="1:10" s="1" customFormat="1" x14ac:dyDescent="0.25">
      <c r="A1080" s="33"/>
      <c r="C1080" s="4"/>
      <c r="E1080" s="30"/>
      <c r="J1080" s="134"/>
    </row>
    <row r="1081" spans="1:10" s="1" customFormat="1" x14ac:dyDescent="0.25">
      <c r="A1081" s="33"/>
      <c r="C1081" s="4"/>
      <c r="E1081" s="30"/>
      <c r="J1081" s="134"/>
    </row>
    <row r="1082" spans="1:10" s="1" customFormat="1" x14ac:dyDescent="0.25">
      <c r="A1082" s="33"/>
      <c r="C1082" s="4"/>
      <c r="E1082" s="30"/>
      <c r="J1082" s="134"/>
    </row>
    <row r="1083" spans="1:10" s="1" customFormat="1" x14ac:dyDescent="0.25">
      <c r="A1083" s="33"/>
      <c r="C1083" s="4"/>
      <c r="E1083" s="30"/>
      <c r="J1083" s="134"/>
    </row>
    <row r="1084" spans="1:10" s="1" customFormat="1" x14ac:dyDescent="0.25">
      <c r="A1084" s="33"/>
      <c r="C1084" s="4"/>
      <c r="E1084" s="30"/>
      <c r="J1084" s="134"/>
    </row>
    <row r="1085" spans="1:10" s="1" customFormat="1" x14ac:dyDescent="0.25">
      <c r="A1085" s="33"/>
      <c r="C1085" s="4"/>
      <c r="E1085" s="30"/>
      <c r="J1085" s="134"/>
    </row>
    <row r="1086" spans="1:10" s="1" customFormat="1" x14ac:dyDescent="0.25">
      <c r="A1086" s="33"/>
      <c r="C1086" s="4"/>
      <c r="E1086" s="30"/>
      <c r="J1086" s="134"/>
    </row>
    <row r="1087" spans="1:10" s="1" customFormat="1" x14ac:dyDescent="0.25">
      <c r="A1087" s="33"/>
      <c r="C1087" s="4"/>
      <c r="E1087" s="30"/>
      <c r="J1087" s="134"/>
    </row>
    <row r="1088" spans="1:10" s="1" customFormat="1" x14ac:dyDescent="0.25">
      <c r="A1088" s="33"/>
      <c r="C1088" s="4"/>
      <c r="E1088" s="30"/>
      <c r="J1088" s="134"/>
    </row>
    <row r="1089" spans="1:10" s="1" customFormat="1" x14ac:dyDescent="0.25">
      <c r="A1089" s="33"/>
      <c r="C1089" s="4"/>
      <c r="E1089" s="30"/>
      <c r="J1089" s="134"/>
    </row>
    <row r="1090" spans="1:10" s="1" customFormat="1" x14ac:dyDescent="0.25">
      <c r="A1090" s="33"/>
      <c r="C1090" s="4"/>
      <c r="E1090" s="30"/>
      <c r="J1090" s="134"/>
    </row>
    <row r="1091" spans="1:10" s="1" customFormat="1" x14ac:dyDescent="0.25">
      <c r="A1091" s="33"/>
      <c r="C1091" s="4"/>
      <c r="E1091" s="30"/>
      <c r="J1091" s="134"/>
    </row>
    <row r="1092" spans="1:10" s="1" customFormat="1" x14ac:dyDescent="0.25">
      <c r="A1092" s="33"/>
      <c r="C1092" s="4"/>
      <c r="E1092" s="30"/>
      <c r="J1092" s="134"/>
    </row>
    <row r="1093" spans="1:10" s="1" customFormat="1" x14ac:dyDescent="0.25">
      <c r="A1093" s="33"/>
      <c r="C1093" s="4"/>
      <c r="E1093" s="30"/>
      <c r="J1093" s="134"/>
    </row>
    <row r="1094" spans="1:10" s="1" customFormat="1" x14ac:dyDescent="0.25">
      <c r="A1094" s="33"/>
      <c r="C1094" s="4"/>
      <c r="E1094" s="30"/>
      <c r="J1094" s="134"/>
    </row>
    <row r="1095" spans="1:10" s="1" customFormat="1" x14ac:dyDescent="0.25">
      <c r="A1095" s="33"/>
      <c r="C1095" s="4"/>
      <c r="E1095" s="30"/>
      <c r="J1095" s="134"/>
    </row>
    <row r="1096" spans="1:10" s="1" customFormat="1" x14ac:dyDescent="0.25">
      <c r="A1096" s="33"/>
      <c r="C1096" s="4"/>
      <c r="E1096" s="30"/>
      <c r="J1096" s="134"/>
    </row>
    <row r="1097" spans="1:10" s="1" customFormat="1" x14ac:dyDescent="0.25">
      <c r="A1097" s="33"/>
      <c r="C1097" s="4"/>
      <c r="E1097" s="30"/>
      <c r="J1097" s="134"/>
    </row>
    <row r="1098" spans="1:10" s="1" customFormat="1" x14ac:dyDescent="0.25">
      <c r="A1098" s="33"/>
      <c r="C1098" s="4"/>
      <c r="E1098" s="30"/>
      <c r="J1098" s="134"/>
    </row>
    <row r="1099" spans="1:10" s="1" customFormat="1" x14ac:dyDescent="0.25">
      <c r="A1099" s="33"/>
      <c r="C1099" s="4"/>
      <c r="E1099" s="30"/>
      <c r="J1099" s="134"/>
    </row>
    <row r="1100" spans="1:10" s="1" customFormat="1" x14ac:dyDescent="0.25">
      <c r="A1100" s="33"/>
      <c r="C1100" s="4"/>
      <c r="E1100" s="30"/>
      <c r="J1100" s="134"/>
    </row>
    <row r="1101" spans="1:10" s="1" customFormat="1" x14ac:dyDescent="0.25">
      <c r="A1101" s="33"/>
      <c r="C1101" s="4"/>
      <c r="E1101" s="30"/>
      <c r="J1101" s="134"/>
    </row>
    <row r="1102" spans="1:10" s="1" customFormat="1" x14ac:dyDescent="0.25">
      <c r="A1102" s="33"/>
      <c r="C1102" s="4"/>
      <c r="E1102" s="30"/>
      <c r="J1102" s="134"/>
    </row>
    <row r="1103" spans="1:10" s="1" customFormat="1" x14ac:dyDescent="0.25">
      <c r="A1103" s="33"/>
      <c r="C1103" s="4"/>
      <c r="E1103" s="30"/>
      <c r="J1103" s="134"/>
    </row>
    <row r="1104" spans="1:10" s="1" customFormat="1" x14ac:dyDescent="0.25">
      <c r="A1104" s="33"/>
      <c r="C1104" s="4"/>
      <c r="E1104" s="30"/>
      <c r="J1104" s="134"/>
    </row>
    <row r="1105" spans="1:10" s="1" customFormat="1" x14ac:dyDescent="0.25">
      <c r="A1105" s="33"/>
      <c r="C1105" s="4"/>
      <c r="E1105" s="30"/>
      <c r="J1105" s="134"/>
    </row>
    <row r="1106" spans="1:10" s="1" customFormat="1" x14ac:dyDescent="0.25">
      <c r="A1106" s="33"/>
      <c r="C1106" s="4"/>
      <c r="E1106" s="30"/>
      <c r="J1106" s="134"/>
    </row>
    <row r="1107" spans="1:10" s="1" customFormat="1" x14ac:dyDescent="0.25">
      <c r="A1107" s="33"/>
      <c r="C1107" s="4"/>
      <c r="E1107" s="30"/>
      <c r="J1107" s="134"/>
    </row>
    <row r="1108" spans="1:10" s="1" customFormat="1" x14ac:dyDescent="0.25">
      <c r="A1108" s="33"/>
      <c r="C1108" s="4"/>
      <c r="E1108" s="30"/>
      <c r="J1108" s="134"/>
    </row>
    <row r="1109" spans="1:10" s="1" customFormat="1" x14ac:dyDescent="0.25">
      <c r="A1109" s="33"/>
      <c r="C1109" s="4"/>
      <c r="E1109" s="30"/>
      <c r="J1109" s="134"/>
    </row>
    <row r="1110" spans="1:10" s="1" customFormat="1" x14ac:dyDescent="0.25">
      <c r="A1110" s="33"/>
      <c r="C1110" s="4"/>
      <c r="E1110" s="30"/>
      <c r="J1110" s="134"/>
    </row>
    <row r="1111" spans="1:10" s="1" customFormat="1" x14ac:dyDescent="0.25">
      <c r="A1111" s="33"/>
      <c r="C1111" s="4"/>
      <c r="E1111" s="30"/>
      <c r="J1111" s="134"/>
    </row>
    <row r="1112" spans="1:10" s="1" customFormat="1" x14ac:dyDescent="0.25">
      <c r="A1112" s="33"/>
      <c r="C1112" s="4"/>
      <c r="E1112" s="30"/>
      <c r="J1112" s="134"/>
    </row>
    <row r="1113" spans="1:10" s="1" customFormat="1" x14ac:dyDescent="0.25">
      <c r="A1113" s="33"/>
      <c r="C1113" s="4"/>
      <c r="E1113" s="30"/>
      <c r="J1113" s="134"/>
    </row>
    <row r="1114" spans="1:10" s="1" customFormat="1" x14ac:dyDescent="0.25">
      <c r="A1114" s="33"/>
      <c r="C1114" s="4"/>
      <c r="E1114" s="30"/>
      <c r="J1114" s="134"/>
    </row>
    <row r="1115" spans="1:10" s="1" customFormat="1" x14ac:dyDescent="0.25">
      <c r="A1115" s="33"/>
      <c r="C1115" s="4"/>
      <c r="E1115" s="30"/>
      <c r="J1115" s="134"/>
    </row>
    <row r="1116" spans="1:10" s="1" customFormat="1" x14ac:dyDescent="0.25">
      <c r="A1116" s="33"/>
      <c r="C1116" s="4"/>
      <c r="E1116" s="30"/>
      <c r="J1116" s="134"/>
    </row>
    <row r="1117" spans="1:10" s="1" customFormat="1" x14ac:dyDescent="0.25">
      <c r="A1117" s="33"/>
      <c r="C1117" s="4"/>
      <c r="E1117" s="30"/>
      <c r="J1117" s="134"/>
    </row>
    <row r="1118" spans="1:10" s="1" customFormat="1" x14ac:dyDescent="0.25">
      <c r="A1118" s="33"/>
      <c r="C1118" s="4"/>
      <c r="E1118" s="30"/>
      <c r="J1118" s="134"/>
    </row>
    <row r="1119" spans="1:10" s="1" customFormat="1" x14ac:dyDescent="0.25">
      <c r="A1119" s="33"/>
      <c r="C1119" s="4"/>
      <c r="E1119" s="30"/>
      <c r="J1119" s="134"/>
    </row>
    <row r="1120" spans="1:10" s="1" customFormat="1" x14ac:dyDescent="0.25">
      <c r="A1120" s="33"/>
      <c r="C1120" s="4"/>
      <c r="E1120" s="30"/>
      <c r="J1120" s="134"/>
    </row>
    <row r="1121" spans="1:10" s="1" customFormat="1" x14ac:dyDescent="0.25">
      <c r="A1121" s="33"/>
      <c r="C1121" s="4"/>
      <c r="E1121" s="30"/>
      <c r="J1121" s="134"/>
    </row>
    <row r="1122" spans="1:10" s="1" customFormat="1" x14ac:dyDescent="0.25">
      <c r="A1122" s="33"/>
      <c r="C1122" s="4"/>
      <c r="E1122" s="30"/>
      <c r="J1122" s="134"/>
    </row>
    <row r="1123" spans="1:10" s="1" customFormat="1" x14ac:dyDescent="0.25">
      <c r="A1123" s="33"/>
      <c r="C1123" s="4"/>
      <c r="E1123" s="30"/>
      <c r="J1123" s="134"/>
    </row>
    <row r="1124" spans="1:10" s="1" customFormat="1" x14ac:dyDescent="0.25">
      <c r="A1124" s="33"/>
      <c r="C1124" s="4"/>
      <c r="E1124" s="30"/>
      <c r="J1124" s="134"/>
    </row>
    <row r="1125" spans="1:10" s="1" customFormat="1" x14ac:dyDescent="0.25">
      <c r="A1125" s="33"/>
      <c r="C1125" s="4"/>
      <c r="E1125" s="30"/>
      <c r="J1125" s="134"/>
    </row>
    <row r="1126" spans="1:10" s="1" customFormat="1" x14ac:dyDescent="0.25">
      <c r="A1126" s="33"/>
      <c r="C1126" s="4"/>
      <c r="E1126" s="30"/>
      <c r="J1126" s="134"/>
    </row>
    <row r="1127" spans="1:10" s="1" customFormat="1" x14ac:dyDescent="0.25">
      <c r="A1127" s="33"/>
      <c r="C1127" s="4"/>
      <c r="E1127" s="30"/>
      <c r="J1127" s="134"/>
    </row>
    <row r="1128" spans="1:10" s="1" customFormat="1" x14ac:dyDescent="0.25">
      <c r="A1128" s="33"/>
      <c r="C1128" s="4"/>
      <c r="E1128" s="30"/>
      <c r="J1128" s="134"/>
    </row>
    <row r="1129" spans="1:10" s="1" customFormat="1" x14ac:dyDescent="0.25">
      <c r="A1129" s="33"/>
      <c r="C1129" s="4"/>
      <c r="E1129" s="30"/>
      <c r="J1129" s="134"/>
    </row>
    <row r="1130" spans="1:10" s="1" customFormat="1" x14ac:dyDescent="0.25">
      <c r="A1130" s="33"/>
      <c r="C1130" s="4"/>
      <c r="E1130" s="30"/>
      <c r="J1130" s="134"/>
    </row>
    <row r="1131" spans="1:10" s="1" customFormat="1" x14ac:dyDescent="0.25">
      <c r="A1131" s="33"/>
      <c r="C1131" s="4"/>
      <c r="E1131" s="30"/>
      <c r="J1131" s="134"/>
    </row>
    <row r="1132" spans="1:10" s="1" customFormat="1" x14ac:dyDescent="0.25">
      <c r="A1132" s="33"/>
      <c r="C1132" s="4"/>
      <c r="E1132" s="30"/>
      <c r="J1132" s="134"/>
    </row>
    <row r="1133" spans="1:10" s="1" customFormat="1" x14ac:dyDescent="0.25">
      <c r="A1133" s="33"/>
      <c r="C1133" s="4"/>
      <c r="E1133" s="30"/>
      <c r="J1133" s="134"/>
    </row>
    <row r="1134" spans="1:10" s="1" customFormat="1" x14ac:dyDescent="0.25">
      <c r="A1134" s="33"/>
      <c r="C1134" s="4"/>
      <c r="E1134" s="30"/>
      <c r="J1134" s="134"/>
    </row>
    <row r="1135" spans="1:10" s="1" customFormat="1" x14ac:dyDescent="0.25">
      <c r="A1135" s="33"/>
      <c r="C1135" s="4"/>
      <c r="E1135" s="30"/>
      <c r="J1135" s="134"/>
    </row>
    <row r="1136" spans="1:10" s="1" customFormat="1" x14ac:dyDescent="0.25">
      <c r="A1136" s="33"/>
      <c r="C1136" s="4"/>
      <c r="E1136" s="30"/>
      <c r="J1136" s="134"/>
    </row>
    <row r="1137" spans="1:10" s="1" customFormat="1" x14ac:dyDescent="0.25">
      <c r="A1137" s="33"/>
      <c r="C1137" s="4"/>
      <c r="E1137" s="30"/>
      <c r="J1137" s="134"/>
    </row>
    <row r="1138" spans="1:10" s="1" customFormat="1" x14ac:dyDescent="0.25">
      <c r="A1138" s="33"/>
      <c r="C1138" s="4"/>
      <c r="E1138" s="30"/>
      <c r="J1138" s="134"/>
    </row>
    <row r="1139" spans="1:10" s="1" customFormat="1" x14ac:dyDescent="0.25">
      <c r="A1139" s="33"/>
      <c r="C1139" s="4"/>
      <c r="E1139" s="30"/>
      <c r="J1139" s="134"/>
    </row>
    <row r="1140" spans="1:10" s="1" customFormat="1" x14ac:dyDescent="0.25">
      <c r="A1140" s="33"/>
      <c r="C1140" s="4"/>
      <c r="E1140" s="30"/>
      <c r="J1140" s="134"/>
    </row>
    <row r="1141" spans="1:10" s="1" customFormat="1" x14ac:dyDescent="0.25">
      <c r="A1141" s="33"/>
      <c r="C1141" s="4"/>
      <c r="E1141" s="30"/>
      <c r="J1141" s="134"/>
    </row>
    <row r="1142" spans="1:10" s="1" customFormat="1" x14ac:dyDescent="0.25">
      <c r="A1142" s="33"/>
      <c r="C1142" s="4"/>
      <c r="E1142" s="30"/>
      <c r="J1142" s="134"/>
    </row>
    <row r="1143" spans="1:10" s="1" customFormat="1" x14ac:dyDescent="0.25">
      <c r="A1143" s="33"/>
      <c r="C1143" s="4"/>
      <c r="E1143" s="30"/>
      <c r="J1143" s="134"/>
    </row>
    <row r="1144" spans="1:10" s="1" customFormat="1" x14ac:dyDescent="0.25">
      <c r="A1144" s="33"/>
      <c r="C1144" s="4"/>
      <c r="E1144" s="30"/>
      <c r="J1144" s="134"/>
    </row>
    <row r="1145" spans="1:10" s="1" customFormat="1" x14ac:dyDescent="0.25">
      <c r="A1145" s="33"/>
      <c r="C1145" s="4"/>
      <c r="E1145" s="30"/>
      <c r="J1145" s="134"/>
    </row>
    <row r="1146" spans="1:10" s="1" customFormat="1" x14ac:dyDescent="0.25">
      <c r="A1146" s="33"/>
      <c r="C1146" s="4"/>
      <c r="E1146" s="30"/>
      <c r="J1146" s="134"/>
    </row>
    <row r="1147" spans="1:10" s="1" customFormat="1" x14ac:dyDescent="0.25">
      <c r="A1147" s="33"/>
      <c r="C1147" s="4"/>
      <c r="E1147" s="30"/>
      <c r="J1147" s="134"/>
    </row>
    <row r="1148" spans="1:10" s="1" customFormat="1" x14ac:dyDescent="0.25">
      <c r="A1148" s="33"/>
      <c r="C1148" s="4"/>
      <c r="E1148" s="30"/>
      <c r="J1148" s="134"/>
    </row>
    <row r="1149" spans="1:10" s="1" customFormat="1" x14ac:dyDescent="0.25">
      <c r="A1149" s="33"/>
      <c r="C1149" s="4"/>
      <c r="E1149" s="30"/>
      <c r="J1149" s="134"/>
    </row>
    <row r="1150" spans="1:10" s="1" customFormat="1" x14ac:dyDescent="0.25">
      <c r="A1150" s="33"/>
      <c r="C1150" s="4"/>
      <c r="E1150" s="30"/>
      <c r="J1150" s="134"/>
    </row>
    <row r="1151" spans="1:10" s="1" customFormat="1" x14ac:dyDescent="0.25">
      <c r="A1151" s="33"/>
      <c r="C1151" s="4"/>
      <c r="E1151" s="30"/>
      <c r="J1151" s="134"/>
    </row>
    <row r="1152" spans="1:10" s="1" customFormat="1" x14ac:dyDescent="0.25">
      <c r="A1152" s="33"/>
      <c r="C1152" s="4"/>
      <c r="E1152" s="30"/>
      <c r="J1152" s="134"/>
    </row>
    <row r="1153" spans="1:10" s="1" customFormat="1" x14ac:dyDescent="0.25">
      <c r="A1153" s="33"/>
      <c r="C1153" s="4"/>
      <c r="E1153" s="30"/>
      <c r="J1153" s="134"/>
    </row>
    <row r="1154" spans="1:10" s="1" customFormat="1" x14ac:dyDescent="0.25">
      <c r="A1154" s="33"/>
      <c r="C1154" s="4"/>
      <c r="E1154" s="30"/>
      <c r="J1154" s="134"/>
    </row>
    <row r="1155" spans="1:10" s="1" customFormat="1" x14ac:dyDescent="0.25">
      <c r="A1155" s="33"/>
      <c r="C1155" s="4"/>
      <c r="E1155" s="30"/>
      <c r="J1155" s="134"/>
    </row>
    <row r="1156" spans="1:10" s="1" customFormat="1" x14ac:dyDescent="0.25">
      <c r="A1156" s="33"/>
      <c r="C1156" s="4"/>
      <c r="E1156" s="30"/>
      <c r="J1156" s="134"/>
    </row>
    <row r="1157" spans="1:10" s="1" customFormat="1" x14ac:dyDescent="0.25">
      <c r="A1157" s="33"/>
      <c r="C1157" s="4"/>
      <c r="E1157" s="30"/>
      <c r="J1157" s="134"/>
    </row>
    <row r="1158" spans="1:10" s="1" customFormat="1" x14ac:dyDescent="0.25">
      <c r="A1158" s="33"/>
      <c r="C1158" s="4"/>
      <c r="E1158" s="30"/>
      <c r="J1158" s="134"/>
    </row>
    <row r="1159" spans="1:10" s="1" customFormat="1" x14ac:dyDescent="0.25">
      <c r="A1159" s="33"/>
      <c r="C1159" s="4"/>
      <c r="E1159" s="30"/>
      <c r="J1159" s="134"/>
    </row>
    <row r="1160" spans="1:10" s="1" customFormat="1" x14ac:dyDescent="0.25">
      <c r="A1160" s="33"/>
      <c r="C1160" s="4"/>
      <c r="E1160" s="30"/>
      <c r="J1160" s="134"/>
    </row>
    <row r="1161" spans="1:10" s="1" customFormat="1" x14ac:dyDescent="0.25">
      <c r="A1161" s="33"/>
      <c r="C1161" s="4"/>
      <c r="E1161" s="30"/>
      <c r="J1161" s="134"/>
    </row>
    <row r="1162" spans="1:10" s="1" customFormat="1" x14ac:dyDescent="0.25">
      <c r="A1162" s="33"/>
      <c r="C1162" s="4"/>
      <c r="E1162" s="30"/>
      <c r="J1162" s="134"/>
    </row>
    <row r="1163" spans="1:10" s="1" customFormat="1" x14ac:dyDescent="0.25">
      <c r="A1163" s="33"/>
      <c r="C1163" s="4"/>
      <c r="E1163" s="30"/>
      <c r="J1163" s="134"/>
    </row>
    <row r="1164" spans="1:10" s="1" customFormat="1" x14ac:dyDescent="0.25">
      <c r="A1164" s="33"/>
      <c r="C1164" s="4"/>
      <c r="E1164" s="30"/>
      <c r="J1164" s="134"/>
    </row>
    <row r="1165" spans="1:10" s="1" customFormat="1" x14ac:dyDescent="0.25">
      <c r="A1165" s="33"/>
      <c r="C1165" s="4"/>
      <c r="E1165" s="30"/>
      <c r="J1165" s="134"/>
    </row>
    <row r="1166" spans="1:10" s="1" customFormat="1" x14ac:dyDescent="0.25">
      <c r="A1166" s="33"/>
      <c r="C1166" s="4"/>
      <c r="E1166" s="30"/>
      <c r="J1166" s="134"/>
    </row>
    <row r="1167" spans="1:10" s="1" customFormat="1" x14ac:dyDescent="0.25">
      <c r="A1167" s="33"/>
      <c r="C1167" s="4"/>
      <c r="E1167" s="30"/>
      <c r="J1167" s="134"/>
    </row>
    <row r="1168" spans="1:10" s="1" customFormat="1" x14ac:dyDescent="0.25">
      <c r="A1168" s="33"/>
      <c r="C1168" s="4"/>
      <c r="E1168" s="30"/>
      <c r="J1168" s="134"/>
    </row>
    <row r="1169" spans="1:10" s="1" customFormat="1" x14ac:dyDescent="0.25">
      <c r="A1169" s="33"/>
      <c r="C1169" s="4"/>
      <c r="E1169" s="30"/>
      <c r="J1169" s="134"/>
    </row>
    <row r="1170" spans="1:10" s="1" customFormat="1" x14ac:dyDescent="0.25">
      <c r="A1170" s="33"/>
      <c r="C1170" s="4"/>
      <c r="E1170" s="30"/>
      <c r="J1170" s="134"/>
    </row>
    <row r="1171" spans="1:10" s="1" customFormat="1" x14ac:dyDescent="0.25">
      <c r="A1171" s="33"/>
      <c r="C1171" s="4"/>
      <c r="E1171" s="30"/>
      <c r="J1171" s="134"/>
    </row>
    <row r="1172" spans="1:10" s="1" customFormat="1" x14ac:dyDescent="0.25">
      <c r="A1172" s="33"/>
      <c r="C1172" s="4"/>
      <c r="E1172" s="30"/>
      <c r="J1172" s="134"/>
    </row>
    <row r="1173" spans="1:10" s="1" customFormat="1" x14ac:dyDescent="0.25">
      <c r="A1173" s="33"/>
      <c r="C1173" s="4"/>
      <c r="E1173" s="30"/>
      <c r="J1173" s="134"/>
    </row>
    <row r="1174" spans="1:10" s="1" customFormat="1" x14ac:dyDescent="0.25">
      <c r="A1174" s="33"/>
      <c r="C1174" s="4"/>
      <c r="E1174" s="30"/>
      <c r="J1174" s="134"/>
    </row>
    <row r="1175" spans="1:10" s="1" customFormat="1" x14ac:dyDescent="0.25">
      <c r="A1175" s="33"/>
      <c r="C1175" s="4"/>
      <c r="E1175" s="30"/>
      <c r="J1175" s="134"/>
    </row>
    <row r="1176" spans="1:10" s="1" customFormat="1" x14ac:dyDescent="0.25">
      <c r="A1176" s="33"/>
      <c r="C1176" s="4"/>
      <c r="E1176" s="30"/>
      <c r="J1176" s="134"/>
    </row>
    <row r="1177" spans="1:10" s="1" customFormat="1" x14ac:dyDescent="0.25">
      <c r="A1177" s="33"/>
      <c r="C1177" s="4"/>
      <c r="E1177" s="30"/>
      <c r="J1177" s="134"/>
    </row>
    <row r="1178" spans="1:10" s="1" customFormat="1" x14ac:dyDescent="0.25">
      <c r="A1178" s="33"/>
      <c r="C1178" s="4"/>
      <c r="E1178" s="30"/>
      <c r="J1178" s="134"/>
    </row>
    <row r="1179" spans="1:10" s="1" customFormat="1" x14ac:dyDescent="0.25">
      <c r="A1179" s="33"/>
      <c r="C1179" s="4"/>
      <c r="E1179" s="30"/>
      <c r="J1179" s="134"/>
    </row>
    <row r="1180" spans="1:10" s="1" customFormat="1" x14ac:dyDescent="0.25">
      <c r="A1180" s="33"/>
      <c r="C1180" s="4"/>
      <c r="E1180" s="30"/>
      <c r="J1180" s="134"/>
    </row>
    <row r="1181" spans="1:10" s="1" customFormat="1" x14ac:dyDescent="0.25">
      <c r="A1181" s="33"/>
      <c r="C1181" s="4"/>
      <c r="E1181" s="30"/>
      <c r="J1181" s="134"/>
    </row>
    <row r="1182" spans="1:10" s="1" customFormat="1" x14ac:dyDescent="0.25">
      <c r="A1182" s="33"/>
      <c r="C1182" s="4"/>
      <c r="E1182" s="30"/>
      <c r="J1182" s="134"/>
    </row>
    <row r="1183" spans="1:10" s="1" customFormat="1" x14ac:dyDescent="0.25">
      <c r="A1183" s="33"/>
      <c r="C1183" s="4"/>
      <c r="E1183" s="30"/>
      <c r="J1183" s="134"/>
    </row>
    <row r="1184" spans="1:10" s="1" customFormat="1" x14ac:dyDescent="0.25">
      <c r="A1184" s="33"/>
      <c r="C1184" s="4"/>
      <c r="E1184" s="30"/>
      <c r="J1184" s="134"/>
    </row>
    <row r="1185" spans="1:10" s="1" customFormat="1" x14ac:dyDescent="0.25">
      <c r="A1185" s="33"/>
      <c r="C1185" s="4"/>
      <c r="E1185" s="30"/>
      <c r="J1185" s="134"/>
    </row>
    <row r="1186" spans="1:10" s="1" customFormat="1" x14ac:dyDescent="0.25">
      <c r="A1186" s="33"/>
      <c r="C1186" s="4"/>
      <c r="E1186" s="30"/>
      <c r="J1186" s="134"/>
    </row>
    <row r="1187" spans="1:10" s="1" customFormat="1" x14ac:dyDescent="0.25">
      <c r="A1187" s="33"/>
      <c r="C1187" s="4"/>
      <c r="E1187" s="30"/>
      <c r="J1187" s="134"/>
    </row>
    <row r="1188" spans="1:10" s="1" customFormat="1" x14ac:dyDescent="0.25">
      <c r="A1188" s="33"/>
      <c r="C1188" s="4"/>
      <c r="E1188" s="30"/>
      <c r="J1188" s="134"/>
    </row>
    <row r="1189" spans="1:10" s="1" customFormat="1" x14ac:dyDescent="0.25">
      <c r="A1189" s="33"/>
      <c r="C1189" s="4"/>
      <c r="E1189" s="30"/>
      <c r="J1189" s="134"/>
    </row>
    <row r="1190" spans="1:10" s="1" customFormat="1" x14ac:dyDescent="0.25">
      <c r="A1190" s="33"/>
      <c r="C1190" s="4"/>
      <c r="E1190" s="30"/>
      <c r="J1190" s="134"/>
    </row>
    <row r="1191" spans="1:10" s="1" customFormat="1" x14ac:dyDescent="0.25">
      <c r="A1191" s="33"/>
      <c r="C1191" s="4"/>
      <c r="E1191" s="30"/>
      <c r="J1191" s="134"/>
    </row>
    <row r="1192" spans="1:10" s="1" customFormat="1" x14ac:dyDescent="0.25">
      <c r="A1192" s="33"/>
      <c r="C1192" s="4"/>
      <c r="E1192" s="30"/>
      <c r="J1192" s="134"/>
    </row>
    <row r="1193" spans="1:10" s="1" customFormat="1" x14ac:dyDescent="0.25">
      <c r="A1193" s="33"/>
      <c r="C1193" s="4"/>
      <c r="E1193" s="30"/>
      <c r="J1193" s="134"/>
    </row>
    <row r="1194" spans="1:10" s="1" customFormat="1" x14ac:dyDescent="0.25">
      <c r="A1194" s="33"/>
      <c r="C1194" s="4"/>
      <c r="E1194" s="30"/>
      <c r="J1194" s="134"/>
    </row>
    <row r="1195" spans="1:10" s="1" customFormat="1" x14ac:dyDescent="0.25">
      <c r="A1195" s="33"/>
      <c r="C1195" s="4"/>
      <c r="E1195" s="30"/>
      <c r="J1195" s="134"/>
    </row>
    <row r="1196" spans="1:10" s="1" customFormat="1" x14ac:dyDescent="0.25">
      <c r="A1196" s="33"/>
      <c r="C1196" s="4"/>
      <c r="E1196" s="30"/>
      <c r="J1196" s="134"/>
    </row>
    <row r="1197" spans="1:10" s="1" customFormat="1" x14ac:dyDescent="0.25">
      <c r="A1197" s="33"/>
      <c r="C1197" s="4"/>
      <c r="E1197" s="30"/>
      <c r="J1197" s="134"/>
    </row>
    <row r="1198" spans="1:10" s="1" customFormat="1" x14ac:dyDescent="0.25">
      <c r="A1198" s="33"/>
      <c r="C1198" s="4"/>
      <c r="E1198" s="30"/>
      <c r="J1198" s="134"/>
    </row>
    <row r="1199" spans="1:10" s="1" customFormat="1" x14ac:dyDescent="0.25">
      <c r="A1199" s="33"/>
      <c r="C1199" s="4"/>
      <c r="E1199" s="30"/>
      <c r="J1199" s="134"/>
    </row>
    <row r="1200" spans="1:10" s="1" customFormat="1" x14ac:dyDescent="0.25">
      <c r="A1200" s="33"/>
      <c r="C1200" s="4"/>
      <c r="E1200" s="30"/>
      <c r="J1200" s="134"/>
    </row>
    <row r="1201" spans="1:10" s="1" customFormat="1" x14ac:dyDescent="0.25">
      <c r="A1201" s="33"/>
      <c r="C1201" s="4"/>
      <c r="E1201" s="30"/>
      <c r="J1201" s="134"/>
    </row>
    <row r="1202" spans="1:10" s="1" customFormat="1" x14ac:dyDescent="0.25">
      <c r="A1202" s="33"/>
      <c r="C1202" s="4"/>
      <c r="E1202" s="30"/>
      <c r="J1202" s="134"/>
    </row>
    <row r="1203" spans="1:10" s="1" customFormat="1" x14ac:dyDescent="0.25">
      <c r="A1203" s="33"/>
      <c r="C1203" s="4"/>
      <c r="E1203" s="30"/>
      <c r="J1203" s="134"/>
    </row>
    <row r="1204" spans="1:10" s="1" customFormat="1" x14ac:dyDescent="0.25">
      <c r="A1204" s="33"/>
      <c r="C1204" s="4"/>
      <c r="E1204" s="30"/>
      <c r="J1204" s="134"/>
    </row>
    <row r="1205" spans="1:10" s="1" customFormat="1" x14ac:dyDescent="0.25">
      <c r="A1205" s="33"/>
      <c r="C1205" s="4"/>
      <c r="E1205" s="30"/>
      <c r="J1205" s="134"/>
    </row>
    <row r="1206" spans="1:10" s="1" customFormat="1" x14ac:dyDescent="0.25">
      <c r="A1206" s="33"/>
      <c r="C1206" s="4"/>
      <c r="E1206" s="30"/>
      <c r="J1206" s="134"/>
    </row>
    <row r="1207" spans="1:10" s="1" customFormat="1" x14ac:dyDescent="0.25">
      <c r="A1207" s="33"/>
      <c r="C1207" s="4"/>
      <c r="E1207" s="30"/>
      <c r="J1207" s="134"/>
    </row>
    <row r="1208" spans="1:10" s="1" customFormat="1" x14ac:dyDescent="0.25">
      <c r="A1208" s="33"/>
      <c r="C1208" s="4"/>
      <c r="E1208" s="30"/>
      <c r="J1208" s="134"/>
    </row>
    <row r="1209" spans="1:10" s="1" customFormat="1" x14ac:dyDescent="0.25">
      <c r="A1209" s="33"/>
      <c r="C1209" s="4"/>
      <c r="E1209" s="30"/>
      <c r="J1209" s="134"/>
    </row>
    <row r="1210" spans="1:10" s="1" customFormat="1" x14ac:dyDescent="0.25">
      <c r="A1210" s="33"/>
      <c r="C1210" s="4"/>
      <c r="E1210" s="30"/>
      <c r="J1210" s="134"/>
    </row>
    <row r="1211" spans="1:10" s="1" customFormat="1" x14ac:dyDescent="0.25">
      <c r="A1211" s="33"/>
      <c r="C1211" s="4"/>
      <c r="E1211" s="30"/>
      <c r="J1211" s="134"/>
    </row>
    <row r="1212" spans="1:10" s="1" customFormat="1" x14ac:dyDescent="0.25">
      <c r="A1212" s="33"/>
      <c r="C1212" s="4"/>
      <c r="E1212" s="30"/>
      <c r="J1212" s="134"/>
    </row>
    <row r="1213" spans="1:10" s="1" customFormat="1" x14ac:dyDescent="0.25">
      <c r="A1213" s="33"/>
      <c r="C1213" s="4"/>
      <c r="E1213" s="30"/>
      <c r="J1213" s="134"/>
    </row>
    <row r="1214" spans="1:10" s="1" customFormat="1" x14ac:dyDescent="0.25">
      <c r="A1214" s="33"/>
      <c r="C1214" s="4"/>
      <c r="E1214" s="30"/>
      <c r="J1214" s="134"/>
    </row>
    <row r="1215" spans="1:10" s="1" customFormat="1" x14ac:dyDescent="0.25">
      <c r="A1215" s="33"/>
      <c r="C1215" s="4"/>
      <c r="E1215" s="30"/>
      <c r="J1215" s="134"/>
    </row>
    <row r="1216" spans="1:10" s="1" customFormat="1" x14ac:dyDescent="0.25">
      <c r="A1216" s="33"/>
      <c r="C1216" s="4"/>
      <c r="E1216" s="30"/>
      <c r="J1216" s="134"/>
    </row>
    <row r="1217" spans="1:10" s="1" customFormat="1" x14ac:dyDescent="0.25">
      <c r="A1217" s="33"/>
      <c r="C1217" s="4"/>
      <c r="E1217" s="30"/>
      <c r="J1217" s="134"/>
    </row>
    <row r="1218" spans="1:10" s="1" customFormat="1" x14ac:dyDescent="0.25">
      <c r="A1218" s="33"/>
      <c r="C1218" s="4"/>
      <c r="E1218" s="30"/>
      <c r="J1218" s="134"/>
    </row>
    <row r="1219" spans="1:10" s="1" customFormat="1" x14ac:dyDescent="0.25">
      <c r="A1219" s="33"/>
      <c r="C1219" s="4"/>
      <c r="E1219" s="30"/>
      <c r="J1219" s="134"/>
    </row>
    <row r="1220" spans="1:10" s="1" customFormat="1" x14ac:dyDescent="0.25">
      <c r="A1220" s="33"/>
      <c r="C1220" s="4"/>
      <c r="E1220" s="30"/>
      <c r="J1220" s="134"/>
    </row>
    <row r="1221" spans="1:10" s="1" customFormat="1" x14ac:dyDescent="0.25">
      <c r="A1221" s="33"/>
      <c r="C1221" s="4"/>
      <c r="E1221" s="30"/>
      <c r="J1221" s="134"/>
    </row>
    <row r="1222" spans="1:10" s="1" customFormat="1" x14ac:dyDescent="0.25">
      <c r="A1222" s="33"/>
      <c r="C1222" s="4"/>
      <c r="E1222" s="30"/>
      <c r="J1222" s="134"/>
    </row>
    <row r="1223" spans="1:10" s="1" customFormat="1" x14ac:dyDescent="0.25">
      <c r="A1223" s="33"/>
      <c r="C1223" s="4"/>
      <c r="E1223" s="30"/>
      <c r="J1223" s="134"/>
    </row>
    <row r="1224" spans="1:10" s="1" customFormat="1" x14ac:dyDescent="0.25">
      <c r="A1224" s="33"/>
      <c r="C1224" s="4"/>
      <c r="E1224" s="30"/>
      <c r="J1224" s="134"/>
    </row>
    <row r="1225" spans="1:10" s="1" customFormat="1" x14ac:dyDescent="0.25">
      <c r="A1225" s="33"/>
      <c r="C1225" s="4"/>
      <c r="E1225" s="30"/>
      <c r="J1225" s="134"/>
    </row>
    <row r="1226" spans="1:10" s="1" customFormat="1" x14ac:dyDescent="0.25">
      <c r="A1226" s="33"/>
      <c r="C1226" s="4"/>
      <c r="E1226" s="30"/>
      <c r="J1226" s="134"/>
    </row>
    <row r="1227" spans="1:10" s="1" customFormat="1" x14ac:dyDescent="0.25">
      <c r="A1227" s="33"/>
      <c r="C1227" s="4"/>
      <c r="E1227" s="30"/>
      <c r="J1227" s="134"/>
    </row>
    <row r="1228" spans="1:10" s="1" customFormat="1" x14ac:dyDescent="0.25">
      <c r="A1228" s="33"/>
      <c r="C1228" s="4"/>
      <c r="E1228" s="30"/>
      <c r="J1228" s="134"/>
    </row>
    <row r="1229" spans="1:10" s="1" customFormat="1" x14ac:dyDescent="0.25">
      <c r="A1229" s="33"/>
      <c r="C1229" s="4"/>
      <c r="E1229" s="30"/>
      <c r="J1229" s="134"/>
    </row>
    <row r="1230" spans="1:10" s="1" customFormat="1" x14ac:dyDescent="0.25">
      <c r="A1230" s="33"/>
      <c r="C1230" s="4"/>
      <c r="E1230" s="30"/>
      <c r="J1230" s="134"/>
    </row>
    <row r="1231" spans="1:10" s="1" customFormat="1" x14ac:dyDescent="0.25">
      <c r="A1231" s="33"/>
      <c r="C1231" s="4"/>
      <c r="E1231" s="30"/>
      <c r="J1231" s="134"/>
    </row>
    <row r="1232" spans="1:10" s="1" customFormat="1" x14ac:dyDescent="0.25">
      <c r="A1232" s="33"/>
      <c r="C1232" s="4"/>
      <c r="E1232" s="30"/>
      <c r="J1232" s="134"/>
    </row>
    <row r="1233" spans="1:10" s="1" customFormat="1" x14ac:dyDescent="0.25">
      <c r="A1233" s="33"/>
      <c r="C1233" s="4"/>
      <c r="E1233" s="30"/>
      <c r="J1233" s="134"/>
    </row>
    <row r="1234" spans="1:10" s="1" customFormat="1" x14ac:dyDescent="0.25">
      <c r="A1234" s="33"/>
      <c r="C1234" s="4"/>
      <c r="E1234" s="30"/>
      <c r="J1234" s="134"/>
    </row>
    <row r="1235" spans="1:10" s="1" customFormat="1" x14ac:dyDescent="0.25">
      <c r="A1235" s="33"/>
      <c r="C1235" s="4"/>
      <c r="E1235" s="30"/>
      <c r="J1235" s="134"/>
    </row>
    <row r="1236" spans="1:10" s="1" customFormat="1" x14ac:dyDescent="0.25">
      <c r="A1236" s="33"/>
      <c r="C1236" s="4"/>
      <c r="E1236" s="30"/>
      <c r="J1236" s="134"/>
    </row>
    <row r="1237" spans="1:10" s="1" customFormat="1" x14ac:dyDescent="0.25">
      <c r="A1237" s="33"/>
      <c r="C1237" s="4"/>
      <c r="E1237" s="30"/>
      <c r="J1237" s="134"/>
    </row>
    <row r="1238" spans="1:10" s="1" customFormat="1" x14ac:dyDescent="0.25">
      <c r="A1238" s="33"/>
      <c r="C1238" s="4"/>
      <c r="E1238" s="30"/>
      <c r="J1238" s="134"/>
    </row>
    <row r="1239" spans="1:10" s="1" customFormat="1" x14ac:dyDescent="0.25">
      <c r="A1239" s="33"/>
      <c r="C1239" s="4"/>
      <c r="E1239" s="30"/>
      <c r="J1239" s="134"/>
    </row>
    <row r="1240" spans="1:10" s="1" customFormat="1" x14ac:dyDescent="0.25">
      <c r="A1240" s="33"/>
      <c r="C1240" s="4"/>
      <c r="E1240" s="30"/>
      <c r="J1240" s="134"/>
    </row>
    <row r="1241" spans="1:10" s="1" customFormat="1" x14ac:dyDescent="0.25">
      <c r="A1241" s="33"/>
      <c r="C1241" s="4"/>
      <c r="E1241" s="30"/>
      <c r="J1241" s="134"/>
    </row>
    <row r="1242" spans="1:10" s="1" customFormat="1" x14ac:dyDescent="0.25">
      <c r="A1242" s="33"/>
      <c r="C1242" s="4"/>
      <c r="E1242" s="30"/>
      <c r="J1242" s="134"/>
    </row>
    <row r="1243" spans="1:10" s="1" customFormat="1" x14ac:dyDescent="0.25">
      <c r="A1243" s="33"/>
      <c r="C1243" s="4"/>
      <c r="E1243" s="30"/>
      <c r="J1243" s="134"/>
    </row>
    <row r="1244" spans="1:10" s="1" customFormat="1" x14ac:dyDescent="0.25">
      <c r="A1244" s="33"/>
      <c r="C1244" s="4"/>
      <c r="E1244" s="30"/>
      <c r="J1244" s="134"/>
    </row>
    <row r="1245" spans="1:10" s="1" customFormat="1" x14ac:dyDescent="0.25">
      <c r="A1245" s="33"/>
      <c r="C1245" s="4"/>
      <c r="E1245" s="30"/>
      <c r="J1245" s="134"/>
    </row>
    <row r="1246" spans="1:10" s="1" customFormat="1" x14ac:dyDescent="0.25">
      <c r="A1246" s="33"/>
      <c r="C1246" s="4"/>
      <c r="E1246" s="30"/>
      <c r="J1246" s="134"/>
    </row>
    <row r="1247" spans="1:10" s="1" customFormat="1" x14ac:dyDescent="0.25">
      <c r="A1247" s="33"/>
      <c r="C1247" s="4"/>
      <c r="E1247" s="30"/>
      <c r="J1247" s="134"/>
    </row>
    <row r="1248" spans="1:10" s="1" customFormat="1" x14ac:dyDescent="0.25">
      <c r="A1248" s="33"/>
      <c r="C1248" s="4"/>
      <c r="E1248" s="30"/>
      <c r="J1248" s="134"/>
    </row>
    <row r="1249" spans="1:10" s="1" customFormat="1" x14ac:dyDescent="0.25">
      <c r="A1249" s="33"/>
      <c r="C1249" s="4"/>
      <c r="E1249" s="30"/>
      <c r="J1249" s="134"/>
    </row>
    <row r="1250" spans="1:10" s="1" customFormat="1" x14ac:dyDescent="0.25">
      <c r="A1250" s="33"/>
      <c r="C1250" s="4"/>
      <c r="E1250" s="30"/>
      <c r="J1250" s="134"/>
    </row>
    <row r="1251" spans="1:10" s="1" customFormat="1" x14ac:dyDescent="0.25">
      <c r="A1251" s="33"/>
      <c r="C1251" s="4"/>
      <c r="E1251" s="30"/>
      <c r="J1251" s="134"/>
    </row>
    <row r="1252" spans="1:10" s="1" customFormat="1" x14ac:dyDescent="0.25">
      <c r="A1252" s="33"/>
      <c r="C1252" s="4"/>
      <c r="E1252" s="30"/>
      <c r="J1252" s="134"/>
    </row>
    <row r="1253" spans="1:10" s="1" customFormat="1" x14ac:dyDescent="0.25">
      <c r="A1253" s="33"/>
      <c r="C1253" s="4"/>
      <c r="E1253" s="30"/>
      <c r="J1253" s="134"/>
    </row>
    <row r="1254" spans="1:10" s="1" customFormat="1" x14ac:dyDescent="0.25">
      <c r="A1254" s="33"/>
      <c r="C1254" s="4"/>
      <c r="E1254" s="30"/>
      <c r="J1254" s="134"/>
    </row>
    <row r="1255" spans="1:10" s="1" customFormat="1" x14ac:dyDescent="0.25">
      <c r="A1255" s="33"/>
      <c r="C1255" s="4"/>
      <c r="E1255" s="30"/>
      <c r="J1255" s="134"/>
    </row>
    <row r="1256" spans="1:10" s="1" customFormat="1" x14ac:dyDescent="0.25">
      <c r="A1256" s="33"/>
      <c r="C1256" s="4"/>
      <c r="E1256" s="30"/>
      <c r="J1256" s="134"/>
    </row>
    <row r="1257" spans="1:10" s="1" customFormat="1" x14ac:dyDescent="0.25">
      <c r="A1257" s="33"/>
      <c r="C1257" s="4"/>
      <c r="E1257" s="30"/>
      <c r="J1257" s="134"/>
    </row>
    <row r="1258" spans="1:10" s="1" customFormat="1" x14ac:dyDescent="0.25">
      <c r="A1258" s="33"/>
      <c r="C1258" s="4"/>
      <c r="E1258" s="30"/>
      <c r="J1258" s="134"/>
    </row>
    <row r="1259" spans="1:10" s="1" customFormat="1" x14ac:dyDescent="0.25">
      <c r="A1259" s="33"/>
      <c r="C1259" s="4"/>
      <c r="E1259" s="30"/>
      <c r="J1259" s="134"/>
    </row>
    <row r="1260" spans="1:10" s="1" customFormat="1" x14ac:dyDescent="0.25">
      <c r="A1260" s="33"/>
      <c r="C1260" s="4"/>
      <c r="E1260" s="30"/>
      <c r="J1260" s="134"/>
    </row>
    <row r="1261" spans="1:10" s="1" customFormat="1" x14ac:dyDescent="0.25">
      <c r="A1261" s="33"/>
      <c r="C1261" s="4"/>
      <c r="E1261" s="30"/>
      <c r="J1261" s="134"/>
    </row>
    <row r="1262" spans="1:10" s="1" customFormat="1" x14ac:dyDescent="0.25">
      <c r="A1262" s="33"/>
      <c r="C1262" s="4"/>
      <c r="E1262" s="30"/>
      <c r="J1262" s="134"/>
    </row>
    <row r="1263" spans="1:10" s="1" customFormat="1" x14ac:dyDescent="0.25">
      <c r="A1263" s="33"/>
      <c r="C1263" s="4"/>
      <c r="E1263" s="30"/>
      <c r="J1263" s="134"/>
    </row>
    <row r="1264" spans="1:10" s="1" customFormat="1" x14ac:dyDescent="0.25">
      <c r="A1264" s="33"/>
      <c r="C1264" s="4"/>
      <c r="E1264" s="30"/>
      <c r="J1264" s="134"/>
    </row>
    <row r="1265" spans="1:10" s="1" customFormat="1" x14ac:dyDescent="0.25">
      <c r="A1265" s="33"/>
      <c r="C1265" s="4"/>
      <c r="E1265" s="30"/>
      <c r="J1265" s="134"/>
    </row>
    <row r="1266" spans="1:10" s="1" customFormat="1" x14ac:dyDescent="0.25">
      <c r="A1266" s="33"/>
      <c r="C1266" s="4"/>
      <c r="E1266" s="30"/>
      <c r="J1266" s="134"/>
    </row>
    <row r="1267" spans="1:10" s="1" customFormat="1" x14ac:dyDescent="0.25">
      <c r="A1267" s="33"/>
      <c r="C1267" s="4"/>
      <c r="E1267" s="30"/>
      <c r="J1267" s="134"/>
    </row>
    <row r="1268" spans="1:10" s="1" customFormat="1" x14ac:dyDescent="0.25">
      <c r="A1268" s="33"/>
      <c r="C1268" s="4"/>
      <c r="E1268" s="30"/>
      <c r="J1268" s="134"/>
    </row>
    <row r="1269" spans="1:10" s="1" customFormat="1" x14ac:dyDescent="0.25">
      <c r="A1269" s="33"/>
      <c r="C1269" s="4"/>
      <c r="E1269" s="30"/>
      <c r="J1269" s="134"/>
    </row>
    <row r="1270" spans="1:10" s="1" customFormat="1" x14ac:dyDescent="0.25">
      <c r="A1270" s="33"/>
      <c r="C1270" s="4"/>
      <c r="E1270" s="30"/>
      <c r="J1270" s="134"/>
    </row>
    <row r="1271" spans="1:10" s="1" customFormat="1" x14ac:dyDescent="0.25">
      <c r="A1271" s="33"/>
      <c r="C1271" s="4"/>
      <c r="E1271" s="30"/>
      <c r="J1271" s="134"/>
    </row>
    <row r="1272" spans="1:10" s="1" customFormat="1" x14ac:dyDescent="0.25">
      <c r="A1272" s="33"/>
      <c r="C1272" s="4"/>
      <c r="E1272" s="30"/>
      <c r="J1272" s="134"/>
    </row>
    <row r="1273" spans="1:10" s="1" customFormat="1" x14ac:dyDescent="0.25">
      <c r="A1273" s="33"/>
      <c r="C1273" s="4"/>
      <c r="E1273" s="30"/>
      <c r="J1273" s="134"/>
    </row>
    <row r="1274" spans="1:10" s="1" customFormat="1" x14ac:dyDescent="0.25">
      <c r="A1274" s="33"/>
      <c r="C1274" s="4"/>
      <c r="E1274" s="30"/>
      <c r="J1274" s="134"/>
    </row>
    <row r="1275" spans="1:10" s="1" customFormat="1" x14ac:dyDescent="0.25">
      <c r="A1275" s="33"/>
      <c r="C1275" s="4"/>
      <c r="E1275" s="30"/>
      <c r="J1275" s="134"/>
    </row>
    <row r="1276" spans="1:10" s="1" customFormat="1" x14ac:dyDescent="0.25">
      <c r="A1276" s="33"/>
      <c r="C1276" s="4"/>
      <c r="E1276" s="30"/>
      <c r="J1276" s="134"/>
    </row>
    <row r="1277" spans="1:10" s="1" customFormat="1" x14ac:dyDescent="0.25">
      <c r="A1277" s="33"/>
      <c r="C1277" s="4"/>
      <c r="E1277" s="30"/>
      <c r="J1277" s="134"/>
    </row>
    <row r="1278" spans="1:10" s="1" customFormat="1" x14ac:dyDescent="0.25">
      <c r="A1278" s="33"/>
      <c r="C1278" s="4"/>
      <c r="E1278" s="30"/>
      <c r="J1278" s="134"/>
    </row>
    <row r="1279" spans="1:10" s="1" customFormat="1" x14ac:dyDescent="0.25">
      <c r="A1279" s="33"/>
      <c r="C1279" s="4"/>
      <c r="E1279" s="30"/>
      <c r="J1279" s="134"/>
    </row>
    <row r="1280" spans="1:10" s="1" customFormat="1" x14ac:dyDescent="0.25">
      <c r="A1280" s="33"/>
      <c r="C1280" s="4"/>
      <c r="E1280" s="30"/>
      <c r="J1280" s="134"/>
    </row>
    <row r="1281" spans="1:10" s="1" customFormat="1" x14ac:dyDescent="0.25">
      <c r="A1281" s="33"/>
      <c r="C1281" s="4"/>
      <c r="E1281" s="30"/>
      <c r="J1281" s="134"/>
    </row>
    <row r="1282" spans="1:10" s="1" customFormat="1" x14ac:dyDescent="0.25">
      <c r="A1282" s="33"/>
      <c r="C1282" s="4"/>
      <c r="E1282" s="30"/>
      <c r="J1282" s="134"/>
    </row>
    <row r="1283" spans="1:10" s="1" customFormat="1" x14ac:dyDescent="0.25">
      <c r="A1283" s="33"/>
      <c r="C1283" s="4"/>
      <c r="E1283" s="30"/>
      <c r="J1283" s="134"/>
    </row>
    <row r="1284" spans="1:10" s="1" customFormat="1" x14ac:dyDescent="0.25">
      <c r="A1284" s="33"/>
      <c r="C1284" s="4"/>
      <c r="E1284" s="30"/>
      <c r="J1284" s="134"/>
    </row>
    <row r="1285" spans="1:10" s="1" customFormat="1" x14ac:dyDescent="0.25">
      <c r="A1285" s="33"/>
      <c r="C1285" s="4"/>
      <c r="E1285" s="30"/>
      <c r="J1285" s="134"/>
    </row>
    <row r="1286" spans="1:10" s="1" customFormat="1" x14ac:dyDescent="0.25">
      <c r="A1286" s="33"/>
      <c r="C1286" s="4"/>
      <c r="E1286" s="30"/>
      <c r="J1286" s="134"/>
    </row>
    <row r="1287" spans="1:10" s="1" customFormat="1" x14ac:dyDescent="0.25">
      <c r="A1287" s="33"/>
      <c r="C1287" s="4"/>
      <c r="E1287" s="30"/>
      <c r="J1287" s="134"/>
    </row>
    <row r="1288" spans="1:10" s="1" customFormat="1" x14ac:dyDescent="0.25">
      <c r="A1288" s="33"/>
      <c r="C1288" s="4"/>
      <c r="E1288" s="30"/>
      <c r="J1288" s="134"/>
    </row>
    <row r="1289" spans="1:10" s="1" customFormat="1" x14ac:dyDescent="0.25">
      <c r="A1289" s="33"/>
      <c r="C1289" s="4"/>
      <c r="E1289" s="30"/>
      <c r="J1289" s="134"/>
    </row>
    <row r="1290" spans="1:10" s="1" customFormat="1" x14ac:dyDescent="0.25">
      <c r="A1290" s="33"/>
      <c r="C1290" s="4"/>
      <c r="E1290" s="30"/>
      <c r="J1290" s="134"/>
    </row>
    <row r="1291" spans="1:10" s="1" customFormat="1" x14ac:dyDescent="0.25">
      <c r="A1291" s="33"/>
      <c r="C1291" s="4"/>
      <c r="E1291" s="30"/>
      <c r="J1291" s="134"/>
    </row>
    <row r="1292" spans="1:10" s="1" customFormat="1" x14ac:dyDescent="0.25">
      <c r="A1292" s="33"/>
      <c r="C1292" s="4"/>
      <c r="E1292" s="30"/>
      <c r="J1292" s="134"/>
    </row>
    <row r="1293" spans="1:10" s="1" customFormat="1" x14ac:dyDescent="0.25">
      <c r="A1293" s="33"/>
      <c r="C1293" s="4"/>
      <c r="E1293" s="30"/>
      <c r="J1293" s="134"/>
    </row>
    <row r="1294" spans="1:10" s="1" customFormat="1" x14ac:dyDescent="0.25">
      <c r="A1294" s="33"/>
      <c r="C1294" s="4"/>
      <c r="E1294" s="30"/>
      <c r="J1294" s="134"/>
    </row>
    <row r="1295" spans="1:10" s="1" customFormat="1" x14ac:dyDescent="0.25">
      <c r="A1295" s="33"/>
      <c r="C1295" s="4"/>
      <c r="E1295" s="30"/>
      <c r="J1295" s="134"/>
    </row>
    <row r="1296" spans="1:10" s="1" customFormat="1" x14ac:dyDescent="0.25">
      <c r="A1296" s="33"/>
      <c r="C1296" s="4"/>
      <c r="E1296" s="30"/>
      <c r="J1296" s="134"/>
    </row>
    <row r="1297" spans="1:10" s="1" customFormat="1" x14ac:dyDescent="0.25">
      <c r="A1297" s="33"/>
      <c r="C1297" s="4"/>
      <c r="E1297" s="30"/>
      <c r="J1297" s="134"/>
    </row>
    <row r="1298" spans="1:10" s="1" customFormat="1" x14ac:dyDescent="0.25">
      <c r="A1298" s="33"/>
      <c r="C1298" s="4"/>
      <c r="E1298" s="30"/>
      <c r="J1298" s="134"/>
    </row>
    <row r="1299" spans="1:10" s="1" customFormat="1" x14ac:dyDescent="0.25">
      <c r="A1299" s="33"/>
      <c r="C1299" s="4"/>
      <c r="E1299" s="30"/>
      <c r="J1299" s="134"/>
    </row>
    <row r="1300" spans="1:10" s="1" customFormat="1" x14ac:dyDescent="0.25">
      <c r="A1300" s="33"/>
      <c r="C1300" s="4"/>
      <c r="E1300" s="30"/>
      <c r="J1300" s="134"/>
    </row>
    <row r="1301" spans="1:10" s="1" customFormat="1" x14ac:dyDescent="0.25">
      <c r="A1301" s="33"/>
      <c r="C1301" s="4"/>
      <c r="E1301" s="30"/>
      <c r="J1301" s="134"/>
    </row>
    <row r="1302" spans="1:10" s="1" customFormat="1" x14ac:dyDescent="0.25">
      <c r="A1302" s="33"/>
      <c r="C1302" s="4"/>
      <c r="E1302" s="30"/>
      <c r="J1302" s="134"/>
    </row>
    <row r="1303" spans="1:10" s="1" customFormat="1" x14ac:dyDescent="0.25">
      <c r="A1303" s="33"/>
      <c r="C1303" s="4"/>
      <c r="E1303" s="30"/>
      <c r="J1303" s="134"/>
    </row>
    <row r="1304" spans="1:10" s="1" customFormat="1" x14ac:dyDescent="0.25">
      <c r="A1304" s="33"/>
      <c r="C1304" s="4"/>
      <c r="E1304" s="30"/>
      <c r="J1304" s="134"/>
    </row>
    <row r="1305" spans="1:10" s="1" customFormat="1" x14ac:dyDescent="0.25">
      <c r="A1305" s="33"/>
      <c r="C1305" s="4"/>
      <c r="E1305" s="30"/>
      <c r="J1305" s="134"/>
    </row>
    <row r="1306" spans="1:10" s="1" customFormat="1" x14ac:dyDescent="0.25">
      <c r="A1306" s="33"/>
      <c r="C1306" s="4"/>
      <c r="E1306" s="30"/>
      <c r="J1306" s="134"/>
    </row>
    <row r="1307" spans="1:10" s="1" customFormat="1" x14ac:dyDescent="0.25">
      <c r="A1307" s="33"/>
      <c r="C1307" s="4"/>
      <c r="E1307" s="30"/>
      <c r="J1307" s="134"/>
    </row>
    <row r="1308" spans="1:10" s="1" customFormat="1" x14ac:dyDescent="0.25">
      <c r="A1308" s="33"/>
      <c r="C1308" s="4"/>
      <c r="E1308" s="30"/>
      <c r="J1308" s="134"/>
    </row>
    <row r="1309" spans="1:10" s="1" customFormat="1" x14ac:dyDescent="0.25">
      <c r="A1309" s="33"/>
      <c r="C1309" s="4"/>
      <c r="E1309" s="30"/>
      <c r="J1309" s="134"/>
    </row>
    <row r="1310" spans="1:10" s="1" customFormat="1" x14ac:dyDescent="0.25">
      <c r="A1310" s="33"/>
      <c r="C1310" s="4"/>
      <c r="E1310" s="30"/>
      <c r="J1310" s="134"/>
    </row>
    <row r="1311" spans="1:10" s="1" customFormat="1" x14ac:dyDescent="0.25">
      <c r="A1311" s="33"/>
      <c r="C1311" s="4"/>
      <c r="E1311" s="30"/>
      <c r="J1311" s="134"/>
    </row>
    <row r="1312" spans="1:10" s="1" customFormat="1" x14ac:dyDescent="0.25">
      <c r="A1312" s="33"/>
      <c r="C1312" s="4"/>
      <c r="E1312" s="30"/>
      <c r="J1312" s="134"/>
    </row>
    <row r="1313" spans="1:10" s="1" customFormat="1" x14ac:dyDescent="0.25">
      <c r="A1313" s="33"/>
      <c r="C1313" s="4"/>
      <c r="E1313" s="30"/>
      <c r="J1313" s="134"/>
    </row>
    <row r="1314" spans="1:10" s="1" customFormat="1" x14ac:dyDescent="0.25">
      <c r="A1314" s="33"/>
      <c r="C1314" s="4"/>
      <c r="E1314" s="30"/>
      <c r="J1314" s="134"/>
    </row>
    <row r="1315" spans="1:10" s="1" customFormat="1" x14ac:dyDescent="0.25">
      <c r="A1315" s="33"/>
      <c r="C1315" s="4"/>
      <c r="E1315" s="30"/>
      <c r="J1315" s="134"/>
    </row>
    <row r="1316" spans="1:10" s="1" customFormat="1" x14ac:dyDescent="0.25">
      <c r="A1316" s="33"/>
      <c r="C1316" s="4"/>
      <c r="E1316" s="30"/>
      <c r="J1316" s="134"/>
    </row>
    <row r="1317" spans="1:10" s="1" customFormat="1" x14ac:dyDescent="0.25">
      <c r="A1317" s="33"/>
      <c r="C1317" s="4"/>
      <c r="E1317" s="30"/>
      <c r="J1317" s="134"/>
    </row>
    <row r="1318" spans="1:10" s="1" customFormat="1" x14ac:dyDescent="0.25">
      <c r="A1318" s="33"/>
      <c r="C1318" s="4"/>
      <c r="E1318" s="30"/>
      <c r="J1318" s="134"/>
    </row>
    <row r="1319" spans="1:10" s="1" customFormat="1" x14ac:dyDescent="0.25">
      <c r="A1319" s="33"/>
      <c r="C1319" s="4"/>
      <c r="E1319" s="30"/>
      <c r="J1319" s="134"/>
    </row>
    <row r="1320" spans="1:10" s="1" customFormat="1" x14ac:dyDescent="0.25">
      <c r="A1320" s="33"/>
      <c r="C1320" s="4"/>
      <c r="E1320" s="30"/>
      <c r="J1320" s="134"/>
    </row>
    <row r="1321" spans="1:10" s="1" customFormat="1" x14ac:dyDescent="0.25">
      <c r="A1321" s="33"/>
      <c r="C1321" s="4"/>
      <c r="E1321" s="30"/>
      <c r="J1321" s="134"/>
    </row>
    <row r="1322" spans="1:10" s="1" customFormat="1" x14ac:dyDescent="0.25">
      <c r="A1322" s="33"/>
      <c r="C1322" s="4"/>
      <c r="E1322" s="30"/>
      <c r="J1322" s="134"/>
    </row>
    <row r="1323" spans="1:10" s="1" customFormat="1" x14ac:dyDescent="0.25">
      <c r="A1323" s="33"/>
      <c r="C1323" s="4"/>
      <c r="E1323" s="30"/>
      <c r="J1323" s="134"/>
    </row>
    <row r="1324" spans="1:10" s="1" customFormat="1" x14ac:dyDescent="0.25">
      <c r="A1324" s="33"/>
      <c r="C1324" s="4"/>
      <c r="E1324" s="30"/>
      <c r="J1324" s="134"/>
    </row>
    <row r="1325" spans="1:10" s="1" customFormat="1" x14ac:dyDescent="0.25">
      <c r="A1325" s="33"/>
      <c r="C1325" s="4"/>
      <c r="E1325" s="30"/>
      <c r="J1325" s="134"/>
    </row>
    <row r="1326" spans="1:10" s="1" customFormat="1" x14ac:dyDescent="0.25">
      <c r="A1326" s="33"/>
      <c r="C1326" s="4"/>
      <c r="E1326" s="30"/>
      <c r="J1326" s="134"/>
    </row>
    <row r="1327" spans="1:10" s="1" customFormat="1" x14ac:dyDescent="0.25">
      <c r="A1327" s="33"/>
      <c r="C1327" s="4"/>
      <c r="E1327" s="30"/>
      <c r="J1327" s="134"/>
    </row>
    <row r="1328" spans="1:10" s="1" customFormat="1" x14ac:dyDescent="0.25">
      <c r="A1328" s="33"/>
      <c r="C1328" s="4"/>
      <c r="E1328" s="30"/>
      <c r="J1328" s="134"/>
    </row>
    <row r="1329" spans="1:10" s="1" customFormat="1" x14ac:dyDescent="0.25">
      <c r="A1329" s="33"/>
      <c r="C1329" s="4"/>
      <c r="E1329" s="30"/>
      <c r="J1329" s="134"/>
    </row>
    <row r="1330" spans="1:10" s="1" customFormat="1" x14ac:dyDescent="0.25">
      <c r="A1330" s="33"/>
      <c r="C1330" s="4"/>
      <c r="E1330" s="30"/>
      <c r="J1330" s="134"/>
    </row>
    <row r="1331" spans="1:10" s="1" customFormat="1" x14ac:dyDescent="0.25">
      <c r="A1331" s="33"/>
      <c r="C1331" s="4"/>
      <c r="E1331" s="30"/>
      <c r="J1331" s="134"/>
    </row>
    <row r="1332" spans="1:10" s="1" customFormat="1" x14ac:dyDescent="0.25">
      <c r="A1332" s="33"/>
      <c r="C1332" s="4"/>
      <c r="E1332" s="30"/>
      <c r="J1332" s="134"/>
    </row>
    <row r="1333" spans="1:10" s="1" customFormat="1" x14ac:dyDescent="0.25">
      <c r="A1333" s="33"/>
      <c r="C1333" s="4"/>
      <c r="E1333" s="30"/>
      <c r="J1333" s="134"/>
    </row>
    <row r="1334" spans="1:10" s="1" customFormat="1" x14ac:dyDescent="0.25">
      <c r="A1334" s="33"/>
      <c r="C1334" s="4"/>
      <c r="E1334" s="30"/>
      <c r="J1334" s="134"/>
    </row>
    <row r="1335" spans="1:10" s="1" customFormat="1" x14ac:dyDescent="0.25">
      <c r="A1335" s="33"/>
      <c r="C1335" s="4"/>
      <c r="E1335" s="30"/>
      <c r="J1335" s="134"/>
    </row>
    <row r="1336" spans="1:10" s="1" customFormat="1" x14ac:dyDescent="0.25">
      <c r="A1336" s="33"/>
      <c r="C1336" s="4"/>
      <c r="E1336" s="30"/>
      <c r="J1336" s="134"/>
    </row>
    <row r="1337" spans="1:10" s="1" customFormat="1" x14ac:dyDescent="0.25">
      <c r="A1337" s="33"/>
      <c r="C1337" s="4"/>
      <c r="E1337" s="30"/>
      <c r="J1337" s="134"/>
    </row>
    <row r="1338" spans="1:10" s="1" customFormat="1" x14ac:dyDescent="0.25">
      <c r="A1338" s="33"/>
      <c r="C1338" s="4"/>
      <c r="E1338" s="30"/>
      <c r="J1338" s="134"/>
    </row>
    <row r="1339" spans="1:10" s="1" customFormat="1" x14ac:dyDescent="0.25">
      <c r="A1339" s="33"/>
      <c r="C1339" s="4"/>
      <c r="E1339" s="30"/>
      <c r="J1339" s="134"/>
    </row>
    <row r="1340" spans="1:10" s="1" customFormat="1" x14ac:dyDescent="0.25">
      <c r="A1340" s="33"/>
      <c r="C1340" s="4"/>
      <c r="E1340" s="30"/>
      <c r="J1340" s="134"/>
    </row>
    <row r="1341" spans="1:10" s="1" customFormat="1" x14ac:dyDescent="0.25">
      <c r="A1341" s="33"/>
      <c r="C1341" s="4"/>
      <c r="E1341" s="30"/>
      <c r="J1341" s="134"/>
    </row>
    <row r="1342" spans="1:10" s="1" customFormat="1" x14ac:dyDescent="0.25">
      <c r="A1342" s="33"/>
      <c r="C1342" s="4"/>
      <c r="E1342" s="30"/>
      <c r="J1342" s="134"/>
    </row>
    <row r="1343" spans="1:10" s="1" customFormat="1" x14ac:dyDescent="0.25">
      <c r="A1343" s="33"/>
      <c r="C1343" s="4"/>
      <c r="E1343" s="30"/>
      <c r="J1343" s="134"/>
    </row>
    <row r="1344" spans="1:10" s="1" customFormat="1" x14ac:dyDescent="0.25">
      <c r="A1344" s="33"/>
      <c r="C1344" s="4"/>
      <c r="E1344" s="30"/>
      <c r="J1344" s="134"/>
    </row>
    <row r="1345" spans="1:10" s="1" customFormat="1" x14ac:dyDescent="0.25">
      <c r="A1345" s="33"/>
      <c r="C1345" s="4"/>
      <c r="E1345" s="30"/>
      <c r="J1345" s="134"/>
    </row>
    <row r="1346" spans="1:10" s="1" customFormat="1" x14ac:dyDescent="0.25">
      <c r="A1346" s="33"/>
      <c r="C1346" s="4"/>
      <c r="E1346" s="30"/>
      <c r="J1346" s="134"/>
    </row>
    <row r="1347" spans="1:10" s="1" customFormat="1" x14ac:dyDescent="0.25">
      <c r="A1347" s="33"/>
      <c r="C1347" s="4"/>
      <c r="E1347" s="30"/>
      <c r="J1347" s="134"/>
    </row>
    <row r="1348" spans="1:10" s="1" customFormat="1" x14ac:dyDescent="0.25">
      <c r="A1348" s="33"/>
      <c r="C1348" s="4"/>
      <c r="E1348" s="30"/>
      <c r="J1348" s="134"/>
    </row>
    <row r="1349" spans="1:10" s="1" customFormat="1" x14ac:dyDescent="0.25">
      <c r="A1349" s="33"/>
      <c r="C1349" s="4"/>
      <c r="E1349" s="30"/>
      <c r="J1349" s="134"/>
    </row>
    <row r="1350" spans="1:10" s="1" customFormat="1" x14ac:dyDescent="0.25">
      <c r="A1350" s="33"/>
      <c r="C1350" s="4"/>
      <c r="E1350" s="30"/>
      <c r="J1350" s="134"/>
    </row>
    <row r="1351" spans="1:10" s="1" customFormat="1" x14ac:dyDescent="0.25">
      <c r="A1351" s="33"/>
      <c r="C1351" s="4"/>
      <c r="E1351" s="30"/>
      <c r="J1351" s="134"/>
    </row>
    <row r="1352" spans="1:10" s="1" customFormat="1" x14ac:dyDescent="0.25">
      <c r="A1352" s="33"/>
      <c r="C1352" s="4"/>
      <c r="E1352" s="30"/>
      <c r="J1352" s="134"/>
    </row>
    <row r="1353" spans="1:10" s="1" customFormat="1" x14ac:dyDescent="0.25">
      <c r="A1353" s="33"/>
      <c r="C1353" s="4"/>
      <c r="E1353" s="30"/>
      <c r="J1353" s="134"/>
    </row>
    <row r="1354" spans="1:10" s="1" customFormat="1" x14ac:dyDescent="0.25">
      <c r="A1354" s="33"/>
      <c r="C1354" s="4"/>
      <c r="E1354" s="30"/>
      <c r="J1354" s="134"/>
    </row>
    <row r="1355" spans="1:10" s="1" customFormat="1" x14ac:dyDescent="0.25">
      <c r="A1355" s="33"/>
      <c r="C1355" s="4"/>
      <c r="E1355" s="30"/>
      <c r="J1355" s="134"/>
    </row>
    <row r="1356" spans="1:10" s="1" customFormat="1" x14ac:dyDescent="0.25">
      <c r="A1356" s="33"/>
      <c r="C1356" s="4"/>
      <c r="E1356" s="30"/>
      <c r="J1356" s="134"/>
    </row>
    <row r="1357" spans="1:10" s="1" customFormat="1" x14ac:dyDescent="0.25">
      <c r="A1357" s="33"/>
      <c r="C1357" s="4"/>
      <c r="E1357" s="30"/>
      <c r="J1357" s="134"/>
    </row>
    <row r="1358" spans="1:10" s="1" customFormat="1" x14ac:dyDescent="0.25">
      <c r="A1358" s="33"/>
      <c r="C1358" s="4"/>
      <c r="E1358" s="30"/>
      <c r="J1358" s="134"/>
    </row>
    <row r="1359" spans="1:10" s="1" customFormat="1" x14ac:dyDescent="0.25">
      <c r="A1359" s="33"/>
      <c r="C1359" s="4"/>
      <c r="E1359" s="30"/>
      <c r="J1359" s="134"/>
    </row>
    <row r="1360" spans="1:10" s="1" customFormat="1" x14ac:dyDescent="0.25">
      <c r="A1360" s="33"/>
      <c r="C1360" s="4"/>
      <c r="E1360" s="30"/>
      <c r="J1360" s="134"/>
    </row>
    <row r="1361" spans="1:10" s="1" customFormat="1" x14ac:dyDescent="0.25">
      <c r="A1361" s="33"/>
      <c r="C1361" s="4"/>
      <c r="E1361" s="30"/>
      <c r="J1361" s="134"/>
    </row>
    <row r="1362" spans="1:10" s="1" customFormat="1" x14ac:dyDescent="0.25">
      <c r="A1362" s="33"/>
      <c r="C1362" s="4"/>
      <c r="E1362" s="30"/>
      <c r="J1362" s="134"/>
    </row>
    <row r="1363" spans="1:10" s="1" customFormat="1" x14ac:dyDescent="0.25">
      <c r="A1363" s="33"/>
      <c r="C1363" s="4"/>
      <c r="E1363" s="30"/>
      <c r="J1363" s="134"/>
    </row>
    <row r="1364" spans="1:10" s="1" customFormat="1" x14ac:dyDescent="0.25">
      <c r="A1364" s="33"/>
      <c r="C1364" s="4"/>
      <c r="E1364" s="30"/>
      <c r="J1364" s="134"/>
    </row>
    <row r="1365" spans="1:10" s="1" customFormat="1" x14ac:dyDescent="0.25">
      <c r="A1365" s="33"/>
      <c r="C1365" s="4"/>
      <c r="E1365" s="30"/>
      <c r="J1365" s="134"/>
    </row>
    <row r="1366" spans="1:10" s="1" customFormat="1" x14ac:dyDescent="0.25">
      <c r="A1366" s="33"/>
      <c r="C1366" s="4"/>
      <c r="E1366" s="30"/>
      <c r="J1366" s="134"/>
    </row>
    <row r="1367" spans="1:10" s="1" customFormat="1" x14ac:dyDescent="0.25">
      <c r="A1367" s="33"/>
      <c r="C1367" s="4"/>
      <c r="E1367" s="30"/>
      <c r="J1367" s="134"/>
    </row>
    <row r="1368" spans="1:10" s="1" customFormat="1" x14ac:dyDescent="0.25">
      <c r="A1368" s="33"/>
      <c r="C1368" s="4"/>
      <c r="E1368" s="30"/>
      <c r="J1368" s="134"/>
    </row>
    <row r="1369" spans="1:10" s="1" customFormat="1" x14ac:dyDescent="0.25">
      <c r="A1369" s="33"/>
      <c r="C1369" s="4"/>
      <c r="E1369" s="30"/>
      <c r="J1369" s="134"/>
    </row>
    <row r="1370" spans="1:10" s="1" customFormat="1" x14ac:dyDescent="0.25">
      <c r="A1370" s="33"/>
      <c r="C1370" s="4"/>
      <c r="E1370" s="30"/>
      <c r="J1370" s="134"/>
    </row>
    <row r="1371" spans="1:10" s="1" customFormat="1" x14ac:dyDescent="0.25">
      <c r="A1371" s="33"/>
      <c r="C1371" s="4"/>
      <c r="E1371" s="30"/>
      <c r="J1371" s="134"/>
    </row>
    <row r="1372" spans="1:10" s="1" customFormat="1" x14ac:dyDescent="0.25">
      <c r="A1372" s="33"/>
      <c r="C1372" s="4"/>
      <c r="E1372" s="30"/>
      <c r="J1372" s="134"/>
    </row>
    <row r="1373" spans="1:10" s="1" customFormat="1" x14ac:dyDescent="0.25">
      <c r="A1373" s="33"/>
      <c r="C1373" s="4"/>
      <c r="E1373" s="30"/>
      <c r="J1373" s="134"/>
    </row>
    <row r="1374" spans="1:10" s="1" customFormat="1" x14ac:dyDescent="0.25">
      <c r="A1374" s="33"/>
      <c r="C1374" s="4"/>
      <c r="E1374" s="30"/>
      <c r="J1374" s="134"/>
    </row>
    <row r="1375" spans="1:10" s="1" customFormat="1" x14ac:dyDescent="0.25">
      <c r="A1375" s="33"/>
      <c r="C1375" s="4"/>
      <c r="E1375" s="30"/>
      <c r="J1375" s="134"/>
    </row>
    <row r="1376" spans="1:10" s="1" customFormat="1" x14ac:dyDescent="0.25">
      <c r="A1376" s="33"/>
      <c r="C1376" s="4"/>
      <c r="E1376" s="30"/>
      <c r="J1376" s="134"/>
    </row>
    <row r="1377" spans="1:10" s="1" customFormat="1" x14ac:dyDescent="0.25">
      <c r="A1377" s="33"/>
      <c r="C1377" s="4"/>
      <c r="E1377" s="30"/>
      <c r="J1377" s="134"/>
    </row>
    <row r="1378" spans="1:10" s="1" customFormat="1" x14ac:dyDescent="0.25">
      <c r="A1378" s="33"/>
      <c r="C1378" s="4"/>
      <c r="E1378" s="30"/>
      <c r="J1378" s="134"/>
    </row>
    <row r="1379" spans="1:10" s="1" customFormat="1" x14ac:dyDescent="0.25">
      <c r="A1379" s="33"/>
      <c r="C1379" s="4"/>
      <c r="E1379" s="30"/>
      <c r="J1379" s="134"/>
    </row>
    <row r="1380" spans="1:10" s="1" customFormat="1" x14ac:dyDescent="0.25">
      <c r="A1380" s="33"/>
      <c r="C1380" s="4"/>
      <c r="E1380" s="30"/>
      <c r="J1380" s="134"/>
    </row>
    <row r="1381" spans="1:10" s="1" customFormat="1" x14ac:dyDescent="0.25">
      <c r="A1381" s="33"/>
      <c r="C1381" s="4"/>
      <c r="E1381" s="30"/>
      <c r="J1381" s="134"/>
    </row>
    <row r="1382" spans="1:10" s="1" customFormat="1" x14ac:dyDescent="0.25">
      <c r="A1382" s="33"/>
      <c r="C1382" s="4"/>
      <c r="E1382" s="30"/>
      <c r="J1382" s="134"/>
    </row>
    <row r="1383" spans="1:10" s="1" customFormat="1" x14ac:dyDescent="0.25">
      <c r="A1383" s="33"/>
      <c r="C1383" s="4"/>
      <c r="E1383" s="30"/>
      <c r="J1383" s="134"/>
    </row>
    <row r="1384" spans="1:10" s="1" customFormat="1" x14ac:dyDescent="0.25">
      <c r="A1384" s="33"/>
      <c r="C1384" s="4"/>
      <c r="E1384" s="30"/>
      <c r="J1384" s="134"/>
    </row>
    <row r="1385" spans="1:10" s="1" customFormat="1" x14ac:dyDescent="0.25">
      <c r="A1385" s="33"/>
      <c r="C1385" s="4"/>
      <c r="E1385" s="30"/>
      <c r="J1385" s="134"/>
    </row>
    <row r="1386" spans="1:10" s="1" customFormat="1" x14ac:dyDescent="0.25">
      <c r="A1386" s="33"/>
      <c r="C1386" s="4"/>
      <c r="E1386" s="30"/>
      <c r="J1386" s="134"/>
    </row>
    <row r="1387" spans="1:10" s="1" customFormat="1" x14ac:dyDescent="0.25">
      <c r="A1387" s="33"/>
      <c r="C1387" s="4"/>
      <c r="E1387" s="30"/>
      <c r="J1387" s="134"/>
    </row>
    <row r="1388" spans="1:10" s="1" customFormat="1" x14ac:dyDescent="0.25">
      <c r="A1388" s="33"/>
      <c r="C1388" s="4"/>
      <c r="E1388" s="30"/>
      <c r="J1388" s="134"/>
    </row>
    <row r="1389" spans="1:10" s="1" customFormat="1" x14ac:dyDescent="0.25">
      <c r="A1389" s="33"/>
      <c r="C1389" s="4"/>
      <c r="E1389" s="30"/>
      <c r="J1389" s="134"/>
    </row>
    <row r="1390" spans="1:10" s="1" customFormat="1" x14ac:dyDescent="0.25">
      <c r="A1390" s="33"/>
      <c r="C1390" s="4"/>
      <c r="E1390" s="30"/>
      <c r="J1390" s="134"/>
    </row>
    <row r="1391" spans="1:10" s="1" customFormat="1" x14ac:dyDescent="0.25">
      <c r="A1391" s="33"/>
      <c r="C1391" s="4"/>
      <c r="E1391" s="30"/>
      <c r="J1391" s="134"/>
    </row>
    <row r="1392" spans="1:10" s="1" customFormat="1" x14ac:dyDescent="0.25">
      <c r="A1392" s="33"/>
      <c r="C1392" s="4"/>
      <c r="E1392" s="30"/>
      <c r="J1392" s="134"/>
    </row>
    <row r="1393" spans="1:10" s="1" customFormat="1" x14ac:dyDescent="0.25">
      <c r="A1393" s="33"/>
      <c r="C1393" s="4"/>
      <c r="E1393" s="30"/>
      <c r="J1393" s="134"/>
    </row>
    <row r="1394" spans="1:10" s="1" customFormat="1" x14ac:dyDescent="0.25">
      <c r="A1394" s="33"/>
      <c r="C1394" s="4"/>
      <c r="E1394" s="30"/>
      <c r="J1394" s="134"/>
    </row>
    <row r="1395" spans="1:10" s="1" customFormat="1" x14ac:dyDescent="0.25">
      <c r="A1395" s="33"/>
      <c r="C1395" s="4"/>
      <c r="E1395" s="30"/>
      <c r="J1395" s="134"/>
    </row>
    <row r="1396" spans="1:10" s="1" customFormat="1" x14ac:dyDescent="0.25">
      <c r="A1396" s="33"/>
      <c r="C1396" s="4"/>
      <c r="E1396" s="30"/>
      <c r="J1396" s="134"/>
    </row>
    <row r="1397" spans="1:10" s="1" customFormat="1" x14ac:dyDescent="0.25">
      <c r="A1397" s="33"/>
      <c r="C1397" s="4"/>
      <c r="E1397" s="30"/>
      <c r="J1397" s="134"/>
    </row>
    <row r="1398" spans="1:10" s="1" customFormat="1" x14ac:dyDescent="0.25">
      <c r="A1398" s="33"/>
      <c r="C1398" s="4"/>
      <c r="E1398" s="30"/>
      <c r="J1398" s="134"/>
    </row>
    <row r="1399" spans="1:10" s="1" customFormat="1" x14ac:dyDescent="0.25">
      <c r="A1399" s="33"/>
      <c r="C1399" s="4"/>
      <c r="E1399" s="30"/>
      <c r="J1399" s="134"/>
    </row>
    <row r="1400" spans="1:10" s="1" customFormat="1" x14ac:dyDescent="0.25">
      <c r="A1400" s="33"/>
      <c r="C1400" s="4"/>
      <c r="E1400" s="30"/>
      <c r="J1400" s="134"/>
    </row>
    <row r="1401" spans="1:10" s="1" customFormat="1" x14ac:dyDescent="0.25">
      <c r="A1401" s="33"/>
      <c r="C1401" s="4"/>
      <c r="E1401" s="30"/>
      <c r="J1401" s="134"/>
    </row>
    <row r="1402" spans="1:10" s="1" customFormat="1" x14ac:dyDescent="0.25">
      <c r="A1402" s="33"/>
      <c r="C1402" s="4"/>
      <c r="E1402" s="30"/>
      <c r="J1402" s="134"/>
    </row>
    <row r="1403" spans="1:10" s="1" customFormat="1" x14ac:dyDescent="0.25">
      <c r="A1403" s="33"/>
      <c r="C1403" s="4"/>
      <c r="E1403" s="30"/>
      <c r="J1403" s="134"/>
    </row>
    <row r="1404" spans="1:10" s="1" customFormat="1" x14ac:dyDescent="0.25">
      <c r="A1404" s="33"/>
      <c r="C1404" s="4"/>
      <c r="E1404" s="30"/>
      <c r="J1404" s="134"/>
    </row>
    <row r="1405" spans="1:10" s="1" customFormat="1" x14ac:dyDescent="0.25">
      <c r="A1405" s="33"/>
      <c r="C1405" s="4"/>
      <c r="E1405" s="30"/>
      <c r="J1405" s="134"/>
    </row>
    <row r="1406" spans="1:10" s="1" customFormat="1" x14ac:dyDescent="0.25">
      <c r="A1406" s="33"/>
      <c r="C1406" s="4"/>
      <c r="E1406" s="30"/>
      <c r="J1406" s="134"/>
    </row>
    <row r="1407" spans="1:10" s="1" customFormat="1" x14ac:dyDescent="0.25">
      <c r="A1407" s="33"/>
      <c r="C1407" s="4"/>
      <c r="E1407" s="30"/>
      <c r="J1407" s="134"/>
    </row>
    <row r="1408" spans="1:10" s="1" customFormat="1" x14ac:dyDescent="0.25">
      <c r="A1408" s="33"/>
      <c r="C1408" s="4"/>
      <c r="E1408" s="30"/>
      <c r="J1408" s="134"/>
    </row>
    <row r="1409" spans="1:10" s="1" customFormat="1" x14ac:dyDescent="0.25">
      <c r="A1409" s="33"/>
      <c r="C1409" s="4"/>
      <c r="E1409" s="30"/>
      <c r="J1409" s="134"/>
    </row>
    <row r="1410" spans="1:10" s="1" customFormat="1" x14ac:dyDescent="0.25">
      <c r="A1410" s="33"/>
      <c r="C1410" s="4"/>
      <c r="E1410" s="30"/>
      <c r="J1410" s="134"/>
    </row>
    <row r="1411" spans="1:10" s="1" customFormat="1" x14ac:dyDescent="0.25">
      <c r="A1411" s="33"/>
      <c r="C1411" s="4"/>
      <c r="E1411" s="30"/>
      <c r="J1411" s="134"/>
    </row>
    <row r="1412" spans="1:10" s="1" customFormat="1" x14ac:dyDescent="0.25">
      <c r="A1412" s="33"/>
      <c r="C1412" s="4"/>
      <c r="E1412" s="30"/>
      <c r="J1412" s="134"/>
    </row>
    <row r="1413" spans="1:10" s="1" customFormat="1" x14ac:dyDescent="0.25">
      <c r="A1413" s="33"/>
      <c r="C1413" s="4"/>
      <c r="E1413" s="30"/>
      <c r="J1413" s="134"/>
    </row>
    <row r="1414" spans="1:10" s="1" customFormat="1" x14ac:dyDescent="0.25">
      <c r="A1414" s="33"/>
      <c r="C1414" s="4"/>
      <c r="E1414" s="30"/>
      <c r="J1414" s="134"/>
    </row>
    <row r="1415" spans="1:10" s="1" customFormat="1" x14ac:dyDescent="0.25">
      <c r="A1415" s="33"/>
      <c r="C1415" s="4"/>
      <c r="E1415" s="30"/>
      <c r="J1415" s="134"/>
    </row>
    <row r="1416" spans="1:10" s="1" customFormat="1" x14ac:dyDescent="0.25">
      <c r="A1416" s="33"/>
      <c r="C1416" s="4"/>
      <c r="E1416" s="30"/>
      <c r="J1416" s="134"/>
    </row>
    <row r="1417" spans="1:10" s="1" customFormat="1" x14ac:dyDescent="0.25">
      <c r="A1417" s="33"/>
      <c r="C1417" s="4"/>
      <c r="E1417" s="30"/>
      <c r="J1417" s="134"/>
    </row>
    <row r="1418" spans="1:10" s="1" customFormat="1" x14ac:dyDescent="0.25">
      <c r="A1418" s="33"/>
      <c r="C1418" s="4"/>
      <c r="E1418" s="30"/>
      <c r="J1418" s="134"/>
    </row>
    <row r="1419" spans="1:10" s="1" customFormat="1" x14ac:dyDescent="0.25">
      <c r="A1419" s="33"/>
      <c r="C1419" s="4"/>
      <c r="E1419" s="30"/>
      <c r="J1419" s="134"/>
    </row>
    <row r="1420" spans="1:10" s="1" customFormat="1" x14ac:dyDescent="0.25">
      <c r="A1420" s="33"/>
      <c r="C1420" s="4"/>
      <c r="E1420" s="30"/>
      <c r="J1420" s="134"/>
    </row>
    <row r="1421" spans="1:10" s="1" customFormat="1" x14ac:dyDescent="0.25">
      <c r="A1421" s="33"/>
      <c r="C1421" s="4"/>
      <c r="E1421" s="30"/>
      <c r="J1421" s="134"/>
    </row>
    <row r="1422" spans="1:10" s="1" customFormat="1" x14ac:dyDescent="0.25">
      <c r="A1422" s="33"/>
      <c r="C1422" s="4"/>
      <c r="E1422" s="30"/>
      <c r="J1422" s="134"/>
    </row>
    <row r="1423" spans="1:10" s="1" customFormat="1" x14ac:dyDescent="0.25">
      <c r="A1423" s="33"/>
      <c r="C1423" s="4"/>
      <c r="E1423" s="30"/>
      <c r="J1423" s="134"/>
    </row>
    <row r="1424" spans="1:10" s="1" customFormat="1" x14ac:dyDescent="0.25">
      <c r="A1424" s="33"/>
      <c r="C1424" s="4"/>
      <c r="E1424" s="30"/>
      <c r="J1424" s="134"/>
    </row>
    <row r="1425" spans="1:10" s="1" customFormat="1" x14ac:dyDescent="0.25">
      <c r="A1425" s="33"/>
      <c r="C1425" s="4"/>
      <c r="E1425" s="30"/>
      <c r="J1425" s="134"/>
    </row>
    <row r="1426" spans="1:10" s="1" customFormat="1" x14ac:dyDescent="0.25">
      <c r="A1426" s="33"/>
      <c r="C1426" s="4"/>
      <c r="E1426" s="30"/>
      <c r="J1426" s="134"/>
    </row>
    <row r="1427" spans="1:10" s="1" customFormat="1" x14ac:dyDescent="0.25">
      <c r="A1427" s="33"/>
      <c r="C1427" s="4"/>
      <c r="E1427" s="30"/>
      <c r="J1427" s="134"/>
    </row>
    <row r="1428" spans="1:10" s="1" customFormat="1" x14ac:dyDescent="0.25">
      <c r="A1428" s="33"/>
      <c r="C1428" s="4"/>
      <c r="E1428" s="30"/>
      <c r="J1428" s="134"/>
    </row>
    <row r="1429" spans="1:10" s="1" customFormat="1" x14ac:dyDescent="0.25">
      <c r="A1429" s="33"/>
      <c r="C1429" s="4"/>
      <c r="E1429" s="30"/>
      <c r="J1429" s="134"/>
    </row>
    <row r="1430" spans="1:10" s="1" customFormat="1" x14ac:dyDescent="0.25">
      <c r="A1430" s="33"/>
      <c r="C1430" s="4"/>
      <c r="E1430" s="30"/>
      <c r="J1430" s="134"/>
    </row>
    <row r="1431" spans="1:10" s="1" customFormat="1" x14ac:dyDescent="0.25">
      <c r="A1431" s="33"/>
      <c r="C1431" s="4"/>
      <c r="E1431" s="30"/>
      <c r="J1431" s="134"/>
    </row>
    <row r="1432" spans="1:10" s="1" customFormat="1" x14ac:dyDescent="0.25">
      <c r="A1432" s="33"/>
      <c r="C1432" s="4"/>
      <c r="E1432" s="30"/>
      <c r="J1432" s="134"/>
    </row>
    <row r="1433" spans="1:10" s="1" customFormat="1" x14ac:dyDescent="0.25">
      <c r="A1433" s="33"/>
      <c r="C1433" s="4"/>
      <c r="E1433" s="30"/>
      <c r="J1433" s="134"/>
    </row>
    <row r="1434" spans="1:10" s="1" customFormat="1" x14ac:dyDescent="0.25">
      <c r="A1434" s="33"/>
      <c r="C1434" s="4"/>
      <c r="E1434" s="30"/>
      <c r="J1434" s="134"/>
    </row>
    <row r="1435" spans="1:10" s="1" customFormat="1" x14ac:dyDescent="0.25">
      <c r="A1435" s="33"/>
      <c r="C1435" s="4"/>
      <c r="E1435" s="30"/>
      <c r="J1435" s="134"/>
    </row>
    <row r="1436" spans="1:10" s="1" customFormat="1" x14ac:dyDescent="0.25">
      <c r="A1436" s="33"/>
      <c r="C1436" s="4"/>
      <c r="E1436" s="30"/>
      <c r="J1436" s="134"/>
    </row>
    <row r="1437" spans="1:10" s="1" customFormat="1" x14ac:dyDescent="0.25">
      <c r="A1437" s="33"/>
      <c r="C1437" s="4"/>
      <c r="E1437" s="30"/>
      <c r="J1437" s="134"/>
    </row>
    <row r="1438" spans="1:10" s="1" customFormat="1" x14ac:dyDescent="0.25">
      <c r="A1438" s="33"/>
      <c r="C1438" s="4"/>
      <c r="E1438" s="30"/>
      <c r="J1438" s="134"/>
    </row>
    <row r="1439" spans="1:10" s="1" customFormat="1" x14ac:dyDescent="0.25">
      <c r="A1439" s="33"/>
      <c r="C1439" s="4"/>
      <c r="E1439" s="30"/>
      <c r="J1439" s="134"/>
    </row>
    <row r="1440" spans="1:10" s="1" customFormat="1" x14ac:dyDescent="0.25">
      <c r="A1440" s="33"/>
      <c r="C1440" s="4"/>
      <c r="E1440" s="30"/>
      <c r="J1440" s="134"/>
    </row>
    <row r="1441" spans="1:10" s="1" customFormat="1" x14ac:dyDescent="0.25">
      <c r="A1441" s="33"/>
      <c r="C1441" s="4"/>
      <c r="E1441" s="30"/>
      <c r="J1441" s="134"/>
    </row>
    <row r="1442" spans="1:10" s="1" customFormat="1" x14ac:dyDescent="0.25">
      <c r="A1442" s="33"/>
      <c r="C1442" s="4"/>
      <c r="E1442" s="30"/>
      <c r="J1442" s="134"/>
    </row>
    <row r="1443" spans="1:10" s="1" customFormat="1" x14ac:dyDescent="0.25">
      <c r="A1443" s="33"/>
      <c r="C1443" s="4"/>
      <c r="E1443" s="30"/>
      <c r="J1443" s="134"/>
    </row>
    <row r="1444" spans="1:10" s="1" customFormat="1" x14ac:dyDescent="0.25">
      <c r="A1444" s="33"/>
      <c r="C1444" s="4"/>
      <c r="E1444" s="30"/>
      <c r="J1444" s="134"/>
    </row>
    <row r="1445" spans="1:10" s="1" customFormat="1" x14ac:dyDescent="0.25">
      <c r="A1445" s="33"/>
      <c r="C1445" s="4"/>
      <c r="E1445" s="30"/>
      <c r="J1445" s="134"/>
    </row>
    <row r="1446" spans="1:10" s="1" customFormat="1" x14ac:dyDescent="0.25">
      <c r="A1446" s="33"/>
      <c r="C1446" s="4"/>
      <c r="E1446" s="30"/>
      <c r="J1446" s="134"/>
    </row>
    <row r="1447" spans="1:10" s="1" customFormat="1" x14ac:dyDescent="0.25">
      <c r="A1447" s="33"/>
      <c r="C1447" s="4"/>
      <c r="E1447" s="30"/>
      <c r="J1447" s="134"/>
    </row>
    <row r="1448" spans="1:10" s="1" customFormat="1" x14ac:dyDescent="0.25">
      <c r="A1448" s="33"/>
      <c r="C1448" s="4"/>
      <c r="E1448" s="30"/>
      <c r="J1448" s="134"/>
    </row>
    <row r="1449" spans="1:10" s="1" customFormat="1" x14ac:dyDescent="0.25">
      <c r="A1449" s="33"/>
      <c r="C1449" s="4"/>
      <c r="E1449" s="30"/>
      <c r="J1449" s="134"/>
    </row>
    <row r="1450" spans="1:10" s="1" customFormat="1" x14ac:dyDescent="0.25">
      <c r="A1450" s="33"/>
      <c r="C1450" s="4"/>
      <c r="E1450" s="30"/>
      <c r="J1450" s="134"/>
    </row>
    <row r="1451" spans="1:10" s="1" customFormat="1" x14ac:dyDescent="0.25">
      <c r="A1451" s="33"/>
      <c r="C1451" s="4"/>
      <c r="E1451" s="30"/>
      <c r="J1451" s="134"/>
    </row>
    <row r="1452" spans="1:10" s="1" customFormat="1" x14ac:dyDescent="0.25">
      <c r="A1452" s="33"/>
      <c r="C1452" s="4"/>
      <c r="E1452" s="30"/>
      <c r="J1452" s="134"/>
    </row>
    <row r="1453" spans="1:10" s="1" customFormat="1" x14ac:dyDescent="0.25">
      <c r="A1453" s="33"/>
      <c r="C1453" s="4"/>
      <c r="E1453" s="30"/>
      <c r="J1453" s="134"/>
    </row>
    <row r="1454" spans="1:10" s="1" customFormat="1" x14ac:dyDescent="0.25">
      <c r="A1454" s="33"/>
      <c r="C1454" s="4"/>
      <c r="E1454" s="30"/>
      <c r="J1454" s="134"/>
    </row>
    <row r="1455" spans="1:10" s="1" customFormat="1" x14ac:dyDescent="0.25">
      <c r="A1455" s="33"/>
      <c r="C1455" s="4"/>
      <c r="E1455" s="30"/>
      <c r="J1455" s="134"/>
    </row>
    <row r="1456" spans="1:10" s="1" customFormat="1" x14ac:dyDescent="0.25">
      <c r="A1456" s="33"/>
      <c r="C1456" s="4"/>
      <c r="E1456" s="30"/>
      <c r="J1456" s="134"/>
    </row>
    <row r="1457" spans="1:10" s="1" customFormat="1" x14ac:dyDescent="0.25">
      <c r="A1457" s="33"/>
      <c r="C1457" s="4"/>
      <c r="E1457" s="30"/>
      <c r="J1457" s="134"/>
    </row>
    <row r="1458" spans="1:10" s="1" customFormat="1" x14ac:dyDescent="0.25">
      <c r="A1458" s="33"/>
      <c r="C1458" s="4"/>
      <c r="E1458" s="30"/>
      <c r="J1458" s="134"/>
    </row>
    <row r="1459" spans="1:10" s="1" customFormat="1" x14ac:dyDescent="0.25">
      <c r="A1459" s="33"/>
      <c r="C1459" s="4"/>
      <c r="E1459" s="30"/>
      <c r="J1459" s="134"/>
    </row>
    <row r="1460" spans="1:10" s="1" customFormat="1" x14ac:dyDescent="0.25">
      <c r="A1460" s="33"/>
      <c r="C1460" s="4"/>
      <c r="E1460" s="30"/>
      <c r="J1460" s="134"/>
    </row>
    <row r="1461" spans="1:10" s="1" customFormat="1" x14ac:dyDescent="0.25">
      <c r="A1461" s="33"/>
      <c r="C1461" s="4"/>
      <c r="E1461" s="30"/>
      <c r="J1461" s="134"/>
    </row>
    <row r="1462" spans="1:10" s="1" customFormat="1" x14ac:dyDescent="0.25">
      <c r="A1462" s="33"/>
      <c r="C1462" s="4"/>
      <c r="E1462" s="30"/>
      <c r="J1462" s="134"/>
    </row>
    <row r="1463" spans="1:10" s="1" customFormat="1" x14ac:dyDescent="0.25">
      <c r="A1463" s="33"/>
      <c r="C1463" s="4"/>
      <c r="E1463" s="30"/>
      <c r="J1463" s="134"/>
    </row>
    <row r="1464" spans="1:10" s="1" customFormat="1" x14ac:dyDescent="0.25">
      <c r="A1464" s="33"/>
      <c r="C1464" s="4"/>
      <c r="E1464" s="30"/>
      <c r="J1464" s="134"/>
    </row>
    <row r="1465" spans="1:10" s="1" customFormat="1" x14ac:dyDescent="0.25">
      <c r="A1465" s="33"/>
      <c r="C1465" s="4"/>
      <c r="E1465" s="30"/>
      <c r="J1465" s="134"/>
    </row>
    <row r="1466" spans="1:10" s="1" customFormat="1" x14ac:dyDescent="0.25">
      <c r="A1466" s="33"/>
      <c r="C1466" s="4"/>
      <c r="E1466" s="30"/>
      <c r="J1466" s="134"/>
    </row>
    <row r="1467" spans="1:10" s="1" customFormat="1" x14ac:dyDescent="0.25">
      <c r="A1467" s="33"/>
      <c r="C1467" s="4"/>
      <c r="E1467" s="30"/>
      <c r="J1467" s="134"/>
    </row>
    <row r="1468" spans="1:10" s="1" customFormat="1" x14ac:dyDescent="0.25">
      <c r="A1468" s="33"/>
      <c r="C1468" s="4"/>
      <c r="E1468" s="30"/>
      <c r="J1468" s="134"/>
    </row>
    <row r="1469" spans="1:10" s="1" customFormat="1" x14ac:dyDescent="0.25">
      <c r="A1469" s="33"/>
      <c r="C1469" s="4"/>
      <c r="E1469" s="30"/>
      <c r="J1469" s="134"/>
    </row>
    <row r="1470" spans="1:10" s="1" customFormat="1" x14ac:dyDescent="0.25">
      <c r="A1470" s="33"/>
      <c r="C1470" s="4"/>
      <c r="E1470" s="30"/>
      <c r="J1470" s="134"/>
    </row>
    <row r="1471" spans="1:10" s="1" customFormat="1" x14ac:dyDescent="0.25">
      <c r="A1471" s="33"/>
      <c r="C1471" s="4"/>
      <c r="E1471" s="30"/>
      <c r="J1471" s="134"/>
    </row>
    <row r="1472" spans="1:10" s="1" customFormat="1" x14ac:dyDescent="0.25">
      <c r="A1472" s="33"/>
      <c r="C1472" s="4"/>
      <c r="E1472" s="30"/>
      <c r="J1472" s="134"/>
    </row>
    <row r="1473" spans="1:10" s="1" customFormat="1" x14ac:dyDescent="0.25">
      <c r="A1473" s="33"/>
      <c r="C1473" s="4"/>
      <c r="E1473" s="30"/>
      <c r="J1473" s="134"/>
    </row>
    <row r="1474" spans="1:10" s="1" customFormat="1" x14ac:dyDescent="0.25">
      <c r="A1474" s="33"/>
      <c r="C1474" s="4"/>
      <c r="E1474" s="30"/>
      <c r="J1474" s="134"/>
    </row>
    <row r="1475" spans="1:10" s="1" customFormat="1" x14ac:dyDescent="0.25">
      <c r="A1475" s="33"/>
      <c r="C1475" s="4"/>
      <c r="E1475" s="30"/>
      <c r="J1475" s="134"/>
    </row>
    <row r="1476" spans="1:10" s="1" customFormat="1" x14ac:dyDescent="0.25">
      <c r="A1476" s="33"/>
      <c r="C1476" s="4"/>
      <c r="E1476" s="30"/>
      <c r="J1476" s="134"/>
    </row>
    <row r="1477" spans="1:10" s="1" customFormat="1" x14ac:dyDescent="0.25">
      <c r="A1477" s="33"/>
      <c r="C1477" s="4"/>
      <c r="E1477" s="30"/>
      <c r="J1477" s="134"/>
    </row>
    <row r="1478" spans="1:10" s="1" customFormat="1" x14ac:dyDescent="0.25">
      <c r="A1478" s="33"/>
      <c r="C1478" s="4"/>
      <c r="E1478" s="30"/>
      <c r="J1478" s="134"/>
    </row>
    <row r="1479" spans="1:10" s="1" customFormat="1" x14ac:dyDescent="0.25">
      <c r="A1479" s="33"/>
      <c r="C1479" s="4"/>
      <c r="E1479" s="30"/>
      <c r="J1479" s="134"/>
    </row>
    <row r="1480" spans="1:10" s="1" customFormat="1" x14ac:dyDescent="0.25">
      <c r="A1480" s="33"/>
      <c r="C1480" s="4"/>
      <c r="E1480" s="30"/>
      <c r="J1480" s="134"/>
    </row>
    <row r="1481" spans="1:10" s="1" customFormat="1" x14ac:dyDescent="0.25">
      <c r="A1481" s="33"/>
      <c r="C1481" s="4"/>
      <c r="E1481" s="30"/>
      <c r="J1481" s="134"/>
    </row>
    <row r="1482" spans="1:10" s="1" customFormat="1" x14ac:dyDescent="0.25">
      <c r="A1482" s="33"/>
      <c r="C1482" s="4"/>
      <c r="E1482" s="30"/>
      <c r="J1482" s="134"/>
    </row>
    <row r="1483" spans="1:10" s="1" customFormat="1" x14ac:dyDescent="0.25">
      <c r="A1483" s="33"/>
      <c r="C1483" s="4"/>
      <c r="E1483" s="30"/>
      <c r="J1483" s="134"/>
    </row>
    <row r="1484" spans="1:10" s="1" customFormat="1" x14ac:dyDescent="0.25">
      <c r="A1484" s="33"/>
      <c r="C1484" s="4"/>
      <c r="E1484" s="30"/>
      <c r="J1484" s="134"/>
    </row>
    <row r="1485" spans="1:10" s="1" customFormat="1" x14ac:dyDescent="0.25">
      <c r="A1485" s="33"/>
      <c r="C1485" s="4"/>
      <c r="E1485" s="30"/>
      <c r="J1485" s="134"/>
    </row>
    <row r="1486" spans="1:10" s="1" customFormat="1" x14ac:dyDescent="0.25">
      <c r="A1486" s="33"/>
      <c r="C1486" s="4"/>
      <c r="E1486" s="30"/>
      <c r="J1486" s="134"/>
    </row>
    <row r="1487" spans="1:10" s="1" customFormat="1" x14ac:dyDescent="0.25">
      <c r="A1487" s="33"/>
      <c r="C1487" s="4"/>
      <c r="E1487" s="30"/>
      <c r="J1487" s="134"/>
    </row>
    <row r="1488" spans="1:10" s="1" customFormat="1" x14ac:dyDescent="0.25">
      <c r="A1488" s="33"/>
      <c r="C1488" s="4"/>
      <c r="E1488" s="30"/>
      <c r="J1488" s="134"/>
    </row>
    <row r="1489" spans="1:10" s="1" customFormat="1" x14ac:dyDescent="0.25">
      <c r="A1489" s="33"/>
      <c r="C1489" s="4"/>
      <c r="E1489" s="30"/>
      <c r="J1489" s="134"/>
    </row>
    <row r="1490" spans="1:10" s="1" customFormat="1" x14ac:dyDescent="0.25">
      <c r="A1490" s="33"/>
      <c r="C1490" s="4"/>
      <c r="E1490" s="30"/>
      <c r="J1490" s="134"/>
    </row>
    <row r="1491" spans="1:10" s="1" customFormat="1" x14ac:dyDescent="0.25">
      <c r="A1491" s="33"/>
      <c r="C1491" s="4"/>
      <c r="E1491" s="30"/>
      <c r="J1491" s="134"/>
    </row>
    <row r="1492" spans="1:10" s="1" customFormat="1" x14ac:dyDescent="0.25">
      <c r="A1492" s="33"/>
      <c r="C1492" s="4"/>
      <c r="E1492" s="30"/>
      <c r="J1492" s="134"/>
    </row>
    <row r="1493" spans="1:10" s="1" customFormat="1" x14ac:dyDescent="0.25">
      <c r="A1493" s="33"/>
      <c r="C1493" s="4"/>
      <c r="E1493" s="30"/>
      <c r="J1493" s="134"/>
    </row>
    <row r="1494" spans="1:10" s="1" customFormat="1" x14ac:dyDescent="0.25">
      <c r="A1494" s="33"/>
      <c r="C1494" s="4"/>
      <c r="E1494" s="30"/>
      <c r="J1494" s="134"/>
    </row>
    <row r="1495" spans="1:10" s="1" customFormat="1" x14ac:dyDescent="0.25">
      <c r="A1495" s="33"/>
      <c r="C1495" s="4"/>
      <c r="E1495" s="30"/>
      <c r="J1495" s="134"/>
    </row>
    <row r="1496" spans="1:10" s="1" customFormat="1" x14ac:dyDescent="0.25">
      <c r="A1496" s="33"/>
      <c r="C1496" s="4"/>
      <c r="E1496" s="30"/>
      <c r="J1496" s="134"/>
    </row>
    <row r="1497" spans="1:10" s="1" customFormat="1" x14ac:dyDescent="0.25">
      <c r="A1497" s="33"/>
      <c r="C1497" s="4"/>
      <c r="E1497" s="30"/>
      <c r="J1497" s="134"/>
    </row>
    <row r="1498" spans="1:10" s="1" customFormat="1" x14ac:dyDescent="0.25">
      <c r="A1498" s="33"/>
      <c r="C1498" s="4"/>
      <c r="E1498" s="30"/>
      <c r="J1498" s="134"/>
    </row>
    <row r="1499" spans="1:10" s="1" customFormat="1" x14ac:dyDescent="0.25">
      <c r="A1499" s="33"/>
      <c r="C1499" s="4"/>
      <c r="E1499" s="30"/>
      <c r="J1499" s="134"/>
    </row>
    <row r="1500" spans="1:10" s="1" customFormat="1" x14ac:dyDescent="0.25">
      <c r="A1500" s="33"/>
      <c r="C1500" s="4"/>
      <c r="E1500" s="30"/>
      <c r="J1500" s="134"/>
    </row>
    <row r="1501" spans="1:10" s="1" customFormat="1" x14ac:dyDescent="0.25">
      <c r="A1501" s="33"/>
      <c r="C1501" s="4"/>
      <c r="E1501" s="30"/>
      <c r="J1501" s="134"/>
    </row>
    <row r="1502" spans="1:10" s="1" customFormat="1" x14ac:dyDescent="0.25">
      <c r="A1502" s="33"/>
      <c r="C1502" s="4"/>
      <c r="E1502" s="30"/>
      <c r="J1502" s="134"/>
    </row>
    <row r="1503" spans="1:10" s="1" customFormat="1" x14ac:dyDescent="0.25">
      <c r="A1503" s="33"/>
      <c r="C1503" s="4"/>
      <c r="E1503" s="30"/>
      <c r="J1503" s="134"/>
    </row>
    <row r="1504" spans="1:10" s="1" customFormat="1" x14ac:dyDescent="0.25">
      <c r="A1504" s="33"/>
      <c r="C1504" s="4"/>
      <c r="E1504" s="30"/>
      <c r="J1504" s="134"/>
    </row>
    <row r="1505" spans="1:10" s="1" customFormat="1" x14ac:dyDescent="0.25">
      <c r="A1505" s="33"/>
      <c r="C1505" s="4"/>
      <c r="E1505" s="30"/>
      <c r="J1505" s="134"/>
    </row>
    <row r="1506" spans="1:10" s="1" customFormat="1" x14ac:dyDescent="0.25">
      <c r="A1506" s="33"/>
      <c r="C1506" s="4"/>
      <c r="E1506" s="30"/>
      <c r="J1506" s="134"/>
    </row>
    <row r="1507" spans="1:10" s="1" customFormat="1" x14ac:dyDescent="0.25">
      <c r="A1507" s="33"/>
      <c r="C1507" s="4"/>
      <c r="E1507" s="30"/>
      <c r="J1507" s="134"/>
    </row>
    <row r="1508" spans="1:10" s="1" customFormat="1" x14ac:dyDescent="0.25">
      <c r="A1508" s="33"/>
      <c r="C1508" s="4"/>
      <c r="E1508" s="30"/>
      <c r="J1508" s="134"/>
    </row>
    <row r="1509" spans="1:10" s="1" customFormat="1" x14ac:dyDescent="0.25">
      <c r="A1509" s="33"/>
      <c r="C1509" s="4"/>
      <c r="E1509" s="30"/>
      <c r="J1509" s="134"/>
    </row>
    <row r="1510" spans="1:10" s="1" customFormat="1" x14ac:dyDescent="0.25">
      <c r="A1510" s="33"/>
      <c r="C1510" s="4"/>
      <c r="E1510" s="30"/>
      <c r="J1510" s="134"/>
    </row>
    <row r="1511" spans="1:10" s="1" customFormat="1" x14ac:dyDescent="0.25">
      <c r="A1511" s="33"/>
      <c r="C1511" s="4"/>
      <c r="E1511" s="30"/>
      <c r="J1511" s="134"/>
    </row>
    <row r="1512" spans="1:10" s="1" customFormat="1" x14ac:dyDescent="0.25">
      <c r="A1512" s="33"/>
      <c r="C1512" s="4"/>
      <c r="E1512" s="30"/>
      <c r="J1512" s="134"/>
    </row>
    <row r="1513" spans="1:10" s="1" customFormat="1" x14ac:dyDescent="0.25">
      <c r="A1513" s="33"/>
      <c r="C1513" s="4"/>
      <c r="E1513" s="30"/>
      <c r="J1513" s="134"/>
    </row>
    <row r="1514" spans="1:10" s="1" customFormat="1" x14ac:dyDescent="0.25">
      <c r="A1514" s="33"/>
      <c r="C1514" s="4"/>
      <c r="E1514" s="30"/>
      <c r="J1514" s="134"/>
    </row>
    <row r="1515" spans="1:10" s="1" customFormat="1" x14ac:dyDescent="0.25">
      <c r="A1515" s="33"/>
      <c r="C1515" s="4"/>
      <c r="E1515" s="30"/>
      <c r="J1515" s="134"/>
    </row>
    <row r="1516" spans="1:10" s="1" customFormat="1" x14ac:dyDescent="0.25">
      <c r="A1516" s="33"/>
      <c r="C1516" s="4"/>
      <c r="E1516" s="30"/>
      <c r="J1516" s="134"/>
    </row>
    <row r="1517" spans="1:10" s="1" customFormat="1" x14ac:dyDescent="0.25">
      <c r="A1517" s="33"/>
      <c r="C1517" s="4"/>
      <c r="E1517" s="30"/>
      <c r="J1517" s="134"/>
    </row>
    <row r="1518" spans="1:10" s="1" customFormat="1" x14ac:dyDescent="0.25">
      <c r="A1518" s="33"/>
      <c r="C1518" s="4"/>
      <c r="E1518" s="30"/>
      <c r="J1518" s="134"/>
    </row>
    <row r="1519" spans="1:10" s="1" customFormat="1" x14ac:dyDescent="0.25">
      <c r="A1519" s="33"/>
      <c r="C1519" s="4"/>
      <c r="E1519" s="30"/>
      <c r="J1519" s="134"/>
    </row>
    <row r="1520" spans="1:10" s="1" customFormat="1" x14ac:dyDescent="0.25">
      <c r="A1520" s="33"/>
      <c r="C1520" s="4"/>
      <c r="E1520" s="30"/>
      <c r="J1520" s="134"/>
    </row>
    <row r="1521" spans="1:10" s="1" customFormat="1" x14ac:dyDescent="0.25">
      <c r="A1521" s="33"/>
      <c r="C1521" s="4"/>
      <c r="E1521" s="30"/>
      <c r="J1521" s="134"/>
    </row>
    <row r="1522" spans="1:10" s="1" customFormat="1" x14ac:dyDescent="0.25">
      <c r="A1522" s="33"/>
      <c r="C1522" s="4"/>
      <c r="E1522" s="30"/>
      <c r="J1522" s="134"/>
    </row>
    <row r="1523" spans="1:10" s="1" customFormat="1" x14ac:dyDescent="0.25">
      <c r="A1523" s="33"/>
      <c r="C1523" s="4"/>
      <c r="E1523" s="30"/>
      <c r="J1523" s="134"/>
    </row>
    <row r="1524" spans="1:10" s="1" customFormat="1" x14ac:dyDescent="0.25">
      <c r="A1524" s="33"/>
      <c r="C1524" s="4"/>
      <c r="E1524" s="30"/>
      <c r="J1524" s="134"/>
    </row>
    <row r="1525" spans="1:10" s="1" customFormat="1" x14ac:dyDescent="0.25">
      <c r="A1525" s="33"/>
      <c r="C1525" s="4"/>
      <c r="E1525" s="30"/>
      <c r="J1525" s="134"/>
    </row>
    <row r="1526" spans="1:10" s="1" customFormat="1" x14ac:dyDescent="0.25">
      <c r="A1526" s="33"/>
      <c r="C1526" s="4"/>
      <c r="E1526" s="30"/>
      <c r="J1526" s="134"/>
    </row>
    <row r="1527" spans="1:10" s="1" customFormat="1" x14ac:dyDescent="0.25">
      <c r="A1527" s="33"/>
      <c r="C1527" s="4"/>
      <c r="E1527" s="30"/>
      <c r="J1527" s="134"/>
    </row>
    <row r="1528" spans="1:10" s="1" customFormat="1" x14ac:dyDescent="0.25">
      <c r="A1528" s="33"/>
      <c r="C1528" s="4"/>
      <c r="E1528" s="30"/>
      <c r="J1528" s="134"/>
    </row>
    <row r="1529" spans="1:10" s="1" customFormat="1" x14ac:dyDescent="0.25">
      <c r="A1529" s="33"/>
      <c r="C1529" s="4"/>
      <c r="E1529" s="30"/>
      <c r="J1529" s="134"/>
    </row>
    <row r="1530" spans="1:10" s="1" customFormat="1" x14ac:dyDescent="0.25">
      <c r="A1530" s="33"/>
      <c r="C1530" s="4"/>
      <c r="E1530" s="30"/>
      <c r="J1530" s="134"/>
    </row>
    <row r="1531" spans="1:10" s="1" customFormat="1" x14ac:dyDescent="0.25">
      <c r="A1531" s="33"/>
      <c r="C1531" s="4"/>
      <c r="E1531" s="30"/>
      <c r="J1531" s="134"/>
    </row>
    <row r="1532" spans="1:10" s="1" customFormat="1" x14ac:dyDescent="0.25">
      <c r="A1532" s="33"/>
      <c r="C1532" s="4"/>
      <c r="E1532" s="30"/>
      <c r="J1532" s="134"/>
    </row>
    <row r="1533" spans="1:10" s="1" customFormat="1" x14ac:dyDescent="0.25">
      <c r="A1533" s="33"/>
      <c r="C1533" s="4"/>
      <c r="E1533" s="30"/>
      <c r="J1533" s="134"/>
    </row>
    <row r="1534" spans="1:10" s="1" customFormat="1" x14ac:dyDescent="0.25">
      <c r="A1534" s="33"/>
      <c r="C1534" s="4"/>
      <c r="E1534" s="30"/>
      <c r="J1534" s="134"/>
    </row>
    <row r="1535" spans="1:10" s="1" customFormat="1" x14ac:dyDescent="0.25">
      <c r="A1535" s="33"/>
      <c r="C1535" s="4"/>
      <c r="E1535" s="30"/>
      <c r="J1535" s="134"/>
    </row>
    <row r="1536" spans="1:10" s="1" customFormat="1" x14ac:dyDescent="0.25">
      <c r="A1536" s="33"/>
      <c r="C1536" s="4"/>
      <c r="E1536" s="30"/>
      <c r="J1536" s="134"/>
    </row>
    <row r="1537" spans="1:10" s="1" customFormat="1" x14ac:dyDescent="0.25">
      <c r="A1537" s="33"/>
      <c r="C1537" s="4"/>
      <c r="E1537" s="30"/>
      <c r="J1537" s="134"/>
    </row>
    <row r="1538" spans="1:10" s="1" customFormat="1" x14ac:dyDescent="0.25">
      <c r="A1538" s="33"/>
      <c r="C1538" s="4"/>
      <c r="E1538" s="30"/>
      <c r="J1538" s="134"/>
    </row>
    <row r="1539" spans="1:10" s="1" customFormat="1" x14ac:dyDescent="0.25">
      <c r="A1539" s="33"/>
      <c r="C1539" s="4"/>
      <c r="E1539" s="30"/>
      <c r="J1539" s="134"/>
    </row>
    <row r="1540" spans="1:10" s="1" customFormat="1" x14ac:dyDescent="0.25">
      <c r="A1540" s="33"/>
      <c r="C1540" s="4"/>
      <c r="E1540" s="30"/>
      <c r="J1540" s="134"/>
    </row>
    <row r="1541" spans="1:10" s="1" customFormat="1" x14ac:dyDescent="0.25">
      <c r="A1541" s="33"/>
      <c r="C1541" s="4"/>
      <c r="E1541" s="30"/>
      <c r="J1541" s="134"/>
    </row>
    <row r="1542" spans="1:10" s="1" customFormat="1" x14ac:dyDescent="0.25">
      <c r="A1542" s="33"/>
      <c r="C1542" s="4"/>
      <c r="E1542" s="30"/>
      <c r="J1542" s="134"/>
    </row>
    <row r="1543" spans="1:10" s="1" customFormat="1" x14ac:dyDescent="0.25">
      <c r="A1543" s="33"/>
      <c r="C1543" s="4"/>
      <c r="E1543" s="30"/>
      <c r="J1543" s="134"/>
    </row>
    <row r="1544" spans="1:10" s="1" customFormat="1" x14ac:dyDescent="0.25">
      <c r="A1544" s="33"/>
      <c r="C1544" s="4"/>
      <c r="E1544" s="30"/>
      <c r="J1544" s="134"/>
    </row>
    <row r="1545" spans="1:10" s="1" customFormat="1" x14ac:dyDescent="0.25">
      <c r="A1545" s="33"/>
      <c r="C1545" s="4"/>
      <c r="E1545" s="30"/>
      <c r="J1545" s="134"/>
    </row>
    <row r="1546" spans="1:10" s="1" customFormat="1" x14ac:dyDescent="0.25">
      <c r="A1546" s="33"/>
      <c r="C1546" s="4"/>
      <c r="E1546" s="30"/>
      <c r="J1546" s="134"/>
    </row>
    <row r="1547" spans="1:10" s="1" customFormat="1" x14ac:dyDescent="0.25">
      <c r="A1547" s="33"/>
      <c r="C1547" s="4"/>
      <c r="E1547" s="30"/>
      <c r="J1547" s="134"/>
    </row>
    <row r="1548" spans="1:10" s="1" customFormat="1" x14ac:dyDescent="0.25">
      <c r="A1548" s="33"/>
      <c r="C1548" s="4"/>
      <c r="E1548" s="30"/>
      <c r="J1548" s="134"/>
    </row>
    <row r="1549" spans="1:10" s="1" customFormat="1" x14ac:dyDescent="0.25">
      <c r="A1549" s="33"/>
      <c r="C1549" s="4"/>
      <c r="E1549" s="30"/>
      <c r="J1549" s="134"/>
    </row>
    <row r="1550" spans="1:10" s="1" customFormat="1" x14ac:dyDescent="0.25">
      <c r="A1550" s="33"/>
      <c r="C1550" s="4"/>
      <c r="E1550" s="30"/>
      <c r="J1550" s="134"/>
    </row>
    <row r="1551" spans="1:10" s="1" customFormat="1" x14ac:dyDescent="0.25">
      <c r="A1551" s="33"/>
      <c r="C1551" s="4"/>
      <c r="E1551" s="30"/>
      <c r="J1551" s="134"/>
    </row>
    <row r="1552" spans="1:10" s="1" customFormat="1" x14ac:dyDescent="0.25">
      <c r="A1552" s="33"/>
      <c r="C1552" s="4"/>
      <c r="E1552" s="30"/>
      <c r="J1552" s="134"/>
    </row>
    <row r="1553" spans="1:10" s="1" customFormat="1" x14ac:dyDescent="0.25">
      <c r="A1553" s="33"/>
      <c r="C1553" s="4"/>
      <c r="E1553" s="30"/>
      <c r="J1553" s="134"/>
    </row>
    <row r="1554" spans="1:10" s="1" customFormat="1" x14ac:dyDescent="0.25">
      <c r="A1554" s="33"/>
      <c r="C1554" s="4"/>
      <c r="E1554" s="30"/>
      <c r="J1554" s="134"/>
    </row>
    <row r="1555" spans="1:10" s="1" customFormat="1" x14ac:dyDescent="0.25">
      <c r="A1555" s="33"/>
      <c r="C1555" s="4"/>
      <c r="E1555" s="30"/>
      <c r="J1555" s="134"/>
    </row>
    <row r="1556" spans="1:10" s="1" customFormat="1" x14ac:dyDescent="0.25">
      <c r="A1556" s="33"/>
      <c r="C1556" s="4"/>
      <c r="E1556" s="30"/>
      <c r="J1556" s="134"/>
    </row>
    <row r="1557" spans="1:10" s="1" customFormat="1" x14ac:dyDescent="0.25">
      <c r="A1557" s="33"/>
      <c r="C1557" s="4"/>
      <c r="E1557" s="30"/>
      <c r="J1557" s="134"/>
    </row>
    <row r="1558" spans="1:10" s="1" customFormat="1" x14ac:dyDescent="0.25">
      <c r="A1558" s="33"/>
      <c r="C1558" s="4"/>
      <c r="E1558" s="30"/>
      <c r="J1558" s="134"/>
    </row>
    <row r="1559" spans="1:10" s="1" customFormat="1" x14ac:dyDescent="0.25">
      <c r="A1559" s="33"/>
      <c r="C1559" s="4"/>
      <c r="E1559" s="30"/>
      <c r="J1559" s="134"/>
    </row>
    <row r="1560" spans="1:10" s="1" customFormat="1" x14ac:dyDescent="0.25">
      <c r="A1560" s="33"/>
      <c r="C1560" s="4"/>
      <c r="E1560" s="30"/>
      <c r="J1560" s="134"/>
    </row>
    <row r="1561" spans="1:10" s="1" customFormat="1" x14ac:dyDescent="0.25">
      <c r="A1561" s="33"/>
      <c r="C1561" s="4"/>
      <c r="E1561" s="30"/>
      <c r="J1561" s="134"/>
    </row>
    <row r="1562" spans="1:10" s="1" customFormat="1" x14ac:dyDescent="0.25">
      <c r="A1562" s="33"/>
      <c r="C1562" s="4"/>
      <c r="E1562" s="30"/>
      <c r="J1562" s="134"/>
    </row>
    <row r="1563" spans="1:10" s="1" customFormat="1" x14ac:dyDescent="0.25">
      <c r="A1563" s="33"/>
      <c r="C1563" s="4"/>
      <c r="E1563" s="30"/>
      <c r="J1563" s="134"/>
    </row>
    <row r="1564" spans="1:10" s="1" customFormat="1" x14ac:dyDescent="0.25">
      <c r="A1564" s="33"/>
      <c r="C1564" s="4"/>
      <c r="E1564" s="30"/>
      <c r="J1564" s="134"/>
    </row>
    <row r="1565" spans="1:10" s="1" customFormat="1" x14ac:dyDescent="0.25">
      <c r="A1565" s="33"/>
      <c r="C1565" s="4"/>
      <c r="E1565" s="30"/>
      <c r="J1565" s="134"/>
    </row>
    <row r="1566" spans="1:10" s="1" customFormat="1" x14ac:dyDescent="0.25">
      <c r="A1566" s="33"/>
      <c r="C1566" s="4"/>
      <c r="E1566" s="30"/>
      <c r="J1566" s="134"/>
    </row>
    <row r="1567" spans="1:10" s="1" customFormat="1" x14ac:dyDescent="0.25">
      <c r="A1567" s="33"/>
      <c r="C1567" s="4"/>
      <c r="E1567" s="30"/>
      <c r="J1567" s="134"/>
    </row>
    <row r="1568" spans="1:10" s="1" customFormat="1" x14ac:dyDescent="0.25">
      <c r="A1568" s="33"/>
      <c r="C1568" s="4"/>
      <c r="E1568" s="30"/>
      <c r="J1568" s="134"/>
    </row>
    <row r="1569" spans="1:10" s="1" customFormat="1" x14ac:dyDescent="0.25">
      <c r="A1569" s="33"/>
      <c r="C1569" s="4"/>
      <c r="E1569" s="30"/>
      <c r="J1569" s="134"/>
    </row>
    <row r="1570" spans="1:10" s="1" customFormat="1" x14ac:dyDescent="0.25">
      <c r="A1570" s="33"/>
      <c r="C1570" s="4"/>
      <c r="E1570" s="30"/>
      <c r="J1570" s="134"/>
    </row>
    <row r="1571" spans="1:10" s="1" customFormat="1" x14ac:dyDescent="0.25">
      <c r="A1571" s="33"/>
      <c r="C1571" s="4"/>
      <c r="E1571" s="30"/>
      <c r="J1571" s="134"/>
    </row>
    <row r="1572" spans="1:10" s="1" customFormat="1" x14ac:dyDescent="0.25">
      <c r="A1572" s="33"/>
      <c r="C1572" s="4"/>
      <c r="E1572" s="30"/>
      <c r="J1572" s="134"/>
    </row>
    <row r="1573" spans="1:10" s="1" customFormat="1" x14ac:dyDescent="0.25">
      <c r="A1573" s="33"/>
      <c r="C1573" s="4"/>
      <c r="E1573" s="30"/>
      <c r="J1573" s="134"/>
    </row>
    <row r="1574" spans="1:10" s="1" customFormat="1" x14ac:dyDescent="0.25">
      <c r="A1574" s="33"/>
      <c r="C1574" s="4"/>
      <c r="E1574" s="30"/>
      <c r="J1574" s="134"/>
    </row>
    <row r="1575" spans="1:10" s="1" customFormat="1" x14ac:dyDescent="0.25">
      <c r="A1575" s="33"/>
      <c r="C1575" s="4"/>
      <c r="E1575" s="30"/>
      <c r="J1575" s="134"/>
    </row>
    <row r="1576" spans="1:10" s="1" customFormat="1" x14ac:dyDescent="0.25">
      <c r="A1576" s="33"/>
      <c r="C1576" s="4"/>
      <c r="E1576" s="30"/>
      <c r="J1576" s="134"/>
    </row>
    <row r="1577" spans="1:10" s="1" customFormat="1" x14ac:dyDescent="0.25">
      <c r="A1577" s="33"/>
      <c r="C1577" s="4"/>
      <c r="E1577" s="30"/>
      <c r="J1577" s="134"/>
    </row>
    <row r="1578" spans="1:10" s="1" customFormat="1" x14ac:dyDescent="0.25">
      <c r="A1578" s="33"/>
      <c r="C1578" s="4"/>
      <c r="E1578" s="30"/>
      <c r="J1578" s="134"/>
    </row>
    <row r="1579" spans="1:10" s="1" customFormat="1" x14ac:dyDescent="0.25">
      <c r="A1579" s="33"/>
      <c r="C1579" s="4"/>
      <c r="E1579" s="30"/>
      <c r="J1579" s="134"/>
    </row>
    <row r="1580" spans="1:10" s="1" customFormat="1" x14ac:dyDescent="0.25">
      <c r="A1580" s="33"/>
      <c r="C1580" s="4"/>
      <c r="E1580" s="30"/>
      <c r="J1580" s="134"/>
    </row>
    <row r="1581" spans="1:10" s="1" customFormat="1" x14ac:dyDescent="0.25">
      <c r="A1581" s="33"/>
      <c r="C1581" s="4"/>
      <c r="E1581" s="30"/>
      <c r="J1581" s="134"/>
    </row>
    <row r="1582" spans="1:10" s="1" customFormat="1" x14ac:dyDescent="0.25">
      <c r="A1582" s="33"/>
      <c r="C1582" s="4"/>
      <c r="E1582" s="30"/>
      <c r="J1582" s="134"/>
    </row>
    <row r="1583" spans="1:10" s="1" customFormat="1" x14ac:dyDescent="0.25">
      <c r="A1583" s="33"/>
      <c r="C1583" s="4"/>
      <c r="E1583" s="30"/>
      <c r="J1583" s="134"/>
    </row>
    <row r="1584" spans="1:10" s="1" customFormat="1" x14ac:dyDescent="0.25">
      <c r="A1584" s="33"/>
      <c r="C1584" s="4"/>
      <c r="E1584" s="30"/>
      <c r="J1584" s="134"/>
    </row>
    <row r="1585" spans="1:10" s="1" customFormat="1" x14ac:dyDescent="0.25">
      <c r="A1585" s="33"/>
      <c r="C1585" s="4"/>
      <c r="E1585" s="30"/>
      <c r="J1585" s="134"/>
    </row>
    <row r="1586" spans="1:10" s="1" customFormat="1" x14ac:dyDescent="0.25">
      <c r="A1586" s="33"/>
      <c r="C1586" s="4"/>
      <c r="E1586" s="30"/>
      <c r="J1586" s="134"/>
    </row>
    <row r="1587" spans="1:10" s="1" customFormat="1" x14ac:dyDescent="0.25">
      <c r="A1587" s="33"/>
      <c r="C1587" s="4"/>
      <c r="E1587" s="30"/>
      <c r="J1587" s="134"/>
    </row>
    <row r="1588" spans="1:10" s="1" customFormat="1" x14ac:dyDescent="0.25">
      <c r="A1588" s="33"/>
      <c r="C1588" s="4"/>
      <c r="E1588" s="30"/>
      <c r="J1588" s="134"/>
    </row>
    <row r="1589" spans="1:10" s="1" customFormat="1" x14ac:dyDescent="0.25">
      <c r="A1589" s="33"/>
      <c r="C1589" s="4"/>
      <c r="E1589" s="30"/>
      <c r="J1589" s="134"/>
    </row>
    <row r="1590" spans="1:10" s="1" customFormat="1" x14ac:dyDescent="0.25">
      <c r="A1590" s="33"/>
      <c r="C1590" s="4"/>
      <c r="E1590" s="30"/>
      <c r="J1590" s="134"/>
    </row>
    <row r="1591" spans="1:10" s="1" customFormat="1" x14ac:dyDescent="0.25">
      <c r="A1591" s="33"/>
      <c r="C1591" s="4"/>
      <c r="E1591" s="30"/>
      <c r="J1591" s="134"/>
    </row>
    <row r="1592" spans="1:10" s="1" customFormat="1" x14ac:dyDescent="0.25">
      <c r="A1592" s="33"/>
      <c r="C1592" s="4"/>
      <c r="E1592" s="30"/>
      <c r="J1592" s="134"/>
    </row>
    <row r="1593" spans="1:10" s="1" customFormat="1" x14ac:dyDescent="0.25">
      <c r="A1593" s="33"/>
      <c r="C1593" s="4"/>
      <c r="E1593" s="30"/>
      <c r="J1593" s="134"/>
    </row>
    <row r="1594" spans="1:10" s="1" customFormat="1" x14ac:dyDescent="0.25">
      <c r="A1594" s="33"/>
      <c r="C1594" s="4"/>
      <c r="E1594" s="30"/>
      <c r="J1594" s="134"/>
    </row>
    <row r="1595" spans="1:10" s="1" customFormat="1" x14ac:dyDescent="0.25">
      <c r="A1595" s="33"/>
      <c r="C1595" s="4"/>
      <c r="E1595" s="30"/>
      <c r="J1595" s="134"/>
    </row>
    <row r="1596" spans="1:10" s="1" customFormat="1" x14ac:dyDescent="0.25">
      <c r="A1596" s="33"/>
      <c r="C1596" s="4"/>
      <c r="E1596" s="30"/>
      <c r="J1596" s="134"/>
    </row>
    <row r="1597" spans="1:10" s="1" customFormat="1" x14ac:dyDescent="0.25">
      <c r="A1597" s="33"/>
      <c r="C1597" s="4"/>
      <c r="E1597" s="30"/>
      <c r="J1597" s="134"/>
    </row>
    <row r="1598" spans="1:10" s="1" customFormat="1" x14ac:dyDescent="0.25">
      <c r="A1598" s="33"/>
      <c r="C1598" s="4"/>
      <c r="E1598" s="30"/>
      <c r="J1598" s="134"/>
    </row>
    <row r="1599" spans="1:10" s="1" customFormat="1" x14ac:dyDescent="0.25">
      <c r="A1599" s="33"/>
      <c r="C1599" s="4"/>
      <c r="E1599" s="30"/>
      <c r="J1599" s="134"/>
    </row>
    <row r="1600" spans="1:10" s="1" customFormat="1" x14ac:dyDescent="0.25">
      <c r="A1600" s="33"/>
      <c r="C1600" s="4"/>
      <c r="E1600" s="30"/>
      <c r="J1600" s="134"/>
    </row>
    <row r="1601" spans="1:10" s="1" customFormat="1" x14ac:dyDescent="0.25">
      <c r="A1601" s="33"/>
      <c r="C1601" s="4"/>
      <c r="E1601" s="30"/>
      <c r="J1601" s="134"/>
    </row>
    <row r="1602" spans="1:10" s="1" customFormat="1" x14ac:dyDescent="0.25">
      <c r="A1602" s="33"/>
      <c r="C1602" s="4"/>
      <c r="E1602" s="30"/>
      <c r="J1602" s="134"/>
    </row>
    <row r="1603" spans="1:10" s="1" customFormat="1" x14ac:dyDescent="0.25">
      <c r="A1603" s="33"/>
      <c r="C1603" s="4"/>
      <c r="E1603" s="30"/>
      <c r="J1603" s="134"/>
    </row>
    <row r="1604" spans="1:10" s="1" customFormat="1" x14ac:dyDescent="0.25">
      <c r="A1604" s="33"/>
      <c r="C1604" s="4"/>
      <c r="E1604" s="30"/>
      <c r="J1604" s="134"/>
    </row>
    <row r="1605" spans="1:10" s="1" customFormat="1" x14ac:dyDescent="0.25">
      <c r="A1605" s="33"/>
      <c r="C1605" s="4"/>
      <c r="E1605" s="30"/>
      <c r="J1605" s="134"/>
    </row>
    <row r="1606" spans="1:10" s="1" customFormat="1" x14ac:dyDescent="0.25">
      <c r="A1606" s="33"/>
      <c r="C1606" s="4"/>
      <c r="E1606" s="30"/>
      <c r="J1606" s="134"/>
    </row>
    <row r="1607" spans="1:10" s="1" customFormat="1" x14ac:dyDescent="0.25">
      <c r="A1607" s="33"/>
      <c r="C1607" s="4"/>
      <c r="E1607" s="30"/>
      <c r="J1607" s="134"/>
    </row>
    <row r="1608" spans="1:10" s="1" customFormat="1" x14ac:dyDescent="0.25">
      <c r="A1608" s="33"/>
      <c r="C1608" s="4"/>
      <c r="E1608" s="30"/>
      <c r="J1608" s="134"/>
    </row>
    <row r="1609" spans="1:10" s="1" customFormat="1" x14ac:dyDescent="0.25">
      <c r="A1609" s="33"/>
      <c r="C1609" s="4"/>
      <c r="E1609" s="30"/>
      <c r="J1609" s="134"/>
    </row>
    <row r="1610" spans="1:10" s="1" customFormat="1" x14ac:dyDescent="0.25">
      <c r="A1610" s="33"/>
      <c r="C1610" s="4"/>
      <c r="E1610" s="30"/>
      <c r="J1610" s="134"/>
    </row>
    <row r="1611" spans="1:10" s="1" customFormat="1" x14ac:dyDescent="0.25">
      <c r="A1611" s="33"/>
      <c r="C1611" s="4"/>
      <c r="E1611" s="30"/>
      <c r="J1611" s="134"/>
    </row>
    <row r="1612" spans="1:10" s="1" customFormat="1" x14ac:dyDescent="0.25">
      <c r="A1612" s="33"/>
      <c r="C1612" s="4"/>
      <c r="E1612" s="30"/>
      <c r="J1612" s="134"/>
    </row>
    <row r="1613" spans="1:10" s="1" customFormat="1" x14ac:dyDescent="0.25">
      <c r="A1613" s="33"/>
      <c r="C1613" s="4"/>
      <c r="E1613" s="30"/>
      <c r="J1613" s="134"/>
    </row>
    <row r="1614" spans="1:10" s="1" customFormat="1" x14ac:dyDescent="0.25">
      <c r="A1614" s="33"/>
      <c r="C1614" s="4"/>
      <c r="E1614" s="30"/>
      <c r="J1614" s="134"/>
    </row>
    <row r="1615" spans="1:10" s="1" customFormat="1" x14ac:dyDescent="0.25">
      <c r="A1615" s="33"/>
      <c r="C1615" s="4"/>
      <c r="E1615" s="30"/>
      <c r="J1615" s="134"/>
    </row>
    <row r="1616" spans="1:10" s="1" customFormat="1" x14ac:dyDescent="0.25">
      <c r="A1616" s="33"/>
      <c r="C1616" s="4"/>
      <c r="E1616" s="30"/>
      <c r="J1616" s="134"/>
    </row>
    <row r="1617" spans="1:10" s="1" customFormat="1" x14ac:dyDescent="0.25">
      <c r="A1617" s="33"/>
      <c r="C1617" s="4"/>
      <c r="E1617" s="30"/>
      <c r="J1617" s="134"/>
    </row>
    <row r="1618" spans="1:10" s="1" customFormat="1" x14ac:dyDescent="0.25">
      <c r="A1618" s="33"/>
      <c r="C1618" s="4"/>
      <c r="E1618" s="30"/>
      <c r="J1618" s="134"/>
    </row>
    <row r="1619" spans="1:10" s="1" customFormat="1" x14ac:dyDescent="0.25">
      <c r="A1619" s="33"/>
      <c r="C1619" s="4"/>
      <c r="E1619" s="30"/>
      <c r="J1619" s="134"/>
    </row>
    <row r="1620" spans="1:10" s="1" customFormat="1" x14ac:dyDescent="0.25">
      <c r="A1620" s="33"/>
      <c r="C1620" s="4"/>
      <c r="E1620" s="30"/>
      <c r="J1620" s="134"/>
    </row>
    <row r="1621" spans="1:10" s="1" customFormat="1" x14ac:dyDescent="0.25">
      <c r="A1621" s="33"/>
      <c r="C1621" s="4"/>
      <c r="E1621" s="30"/>
      <c r="J1621" s="134"/>
    </row>
    <row r="1622" spans="1:10" s="1" customFormat="1" x14ac:dyDescent="0.25">
      <c r="A1622" s="33"/>
      <c r="C1622" s="4"/>
      <c r="E1622" s="30"/>
      <c r="J1622" s="134"/>
    </row>
    <row r="1623" spans="1:10" s="1" customFormat="1" x14ac:dyDescent="0.25">
      <c r="A1623" s="33"/>
      <c r="C1623" s="4"/>
      <c r="E1623" s="30"/>
      <c r="J1623" s="134"/>
    </row>
    <row r="1624" spans="1:10" s="1" customFormat="1" x14ac:dyDescent="0.25">
      <c r="A1624" s="33"/>
      <c r="C1624" s="4"/>
      <c r="E1624" s="30"/>
      <c r="J1624" s="134"/>
    </row>
    <row r="1625" spans="1:10" s="1" customFormat="1" x14ac:dyDescent="0.25">
      <c r="A1625" s="33"/>
      <c r="C1625" s="4"/>
      <c r="E1625" s="30"/>
      <c r="J1625" s="134"/>
    </row>
    <row r="1626" spans="1:10" s="1" customFormat="1" x14ac:dyDescent="0.25">
      <c r="A1626" s="33"/>
      <c r="C1626" s="4"/>
      <c r="E1626" s="30"/>
      <c r="J1626" s="134"/>
    </row>
    <row r="1627" spans="1:10" s="1" customFormat="1" x14ac:dyDescent="0.25">
      <c r="A1627" s="33"/>
      <c r="C1627" s="4"/>
      <c r="E1627" s="30"/>
      <c r="J1627" s="134"/>
    </row>
    <row r="1628" spans="1:10" s="1" customFormat="1" x14ac:dyDescent="0.25">
      <c r="A1628" s="33"/>
      <c r="C1628" s="4"/>
      <c r="E1628" s="30"/>
      <c r="J1628" s="134"/>
    </row>
    <row r="1629" spans="1:10" s="1" customFormat="1" x14ac:dyDescent="0.25">
      <c r="A1629" s="33"/>
      <c r="C1629" s="4"/>
      <c r="E1629" s="30"/>
      <c r="J1629" s="134"/>
    </row>
    <row r="1630" spans="1:10" s="1" customFormat="1" x14ac:dyDescent="0.25">
      <c r="A1630" s="33"/>
      <c r="C1630" s="4"/>
      <c r="E1630" s="30"/>
      <c r="J1630" s="134"/>
    </row>
    <row r="1631" spans="1:10" s="1" customFormat="1" x14ac:dyDescent="0.25">
      <c r="A1631" s="33"/>
      <c r="C1631" s="4"/>
      <c r="E1631" s="30"/>
      <c r="J1631" s="134"/>
    </row>
    <row r="1632" spans="1:10" s="1" customFormat="1" x14ac:dyDescent="0.25">
      <c r="A1632" s="33"/>
      <c r="C1632" s="4"/>
      <c r="E1632" s="30"/>
      <c r="J1632" s="134"/>
    </row>
    <row r="1633" spans="1:10" s="1" customFormat="1" x14ac:dyDescent="0.25">
      <c r="A1633" s="33"/>
      <c r="C1633" s="4"/>
      <c r="E1633" s="30"/>
      <c r="J1633" s="134"/>
    </row>
    <row r="1634" spans="1:10" s="1" customFormat="1" x14ac:dyDescent="0.25">
      <c r="A1634" s="33"/>
      <c r="C1634" s="4"/>
      <c r="E1634" s="30"/>
      <c r="J1634" s="134"/>
    </row>
    <row r="1635" spans="1:10" s="1" customFormat="1" x14ac:dyDescent="0.25">
      <c r="A1635" s="33"/>
      <c r="C1635" s="4"/>
      <c r="E1635" s="30"/>
      <c r="J1635" s="134"/>
    </row>
    <row r="1636" spans="1:10" s="1" customFormat="1" x14ac:dyDescent="0.25">
      <c r="A1636" s="33"/>
      <c r="C1636" s="4"/>
      <c r="E1636" s="30"/>
      <c r="J1636" s="134"/>
    </row>
    <row r="1637" spans="1:10" s="1" customFormat="1" x14ac:dyDescent="0.25">
      <c r="A1637" s="33"/>
      <c r="C1637" s="4"/>
      <c r="E1637" s="30"/>
      <c r="J1637" s="134"/>
    </row>
    <row r="1638" spans="1:10" s="1" customFormat="1" x14ac:dyDescent="0.25">
      <c r="A1638" s="33"/>
      <c r="C1638" s="4"/>
      <c r="E1638" s="30"/>
      <c r="J1638" s="134"/>
    </row>
    <row r="1639" spans="1:10" s="1" customFormat="1" x14ac:dyDescent="0.25">
      <c r="A1639" s="33"/>
      <c r="C1639" s="4"/>
      <c r="E1639" s="30"/>
      <c r="J1639" s="134"/>
    </row>
    <row r="1640" spans="1:10" s="1" customFormat="1" x14ac:dyDescent="0.25">
      <c r="A1640" s="33"/>
      <c r="C1640" s="4"/>
      <c r="E1640" s="30"/>
      <c r="J1640" s="134"/>
    </row>
    <row r="1641" spans="1:10" s="1" customFormat="1" x14ac:dyDescent="0.25">
      <c r="A1641" s="33"/>
      <c r="C1641" s="4"/>
      <c r="E1641" s="30"/>
      <c r="J1641" s="134"/>
    </row>
    <row r="1642" spans="1:10" s="1" customFormat="1" x14ac:dyDescent="0.25">
      <c r="A1642" s="33"/>
      <c r="C1642" s="4"/>
      <c r="E1642" s="30"/>
      <c r="J1642" s="134"/>
    </row>
    <row r="1643" spans="1:10" s="1" customFormat="1" x14ac:dyDescent="0.25">
      <c r="A1643" s="33"/>
      <c r="C1643" s="4"/>
      <c r="E1643" s="30"/>
      <c r="J1643" s="134"/>
    </row>
    <row r="1644" spans="1:10" s="1" customFormat="1" x14ac:dyDescent="0.25">
      <c r="A1644" s="33"/>
      <c r="C1644" s="4"/>
      <c r="E1644" s="30"/>
      <c r="J1644" s="134"/>
    </row>
    <row r="1645" spans="1:10" s="1" customFormat="1" x14ac:dyDescent="0.25">
      <c r="A1645" s="33"/>
      <c r="C1645" s="4"/>
      <c r="E1645" s="30"/>
      <c r="J1645" s="134"/>
    </row>
    <row r="1646" spans="1:10" s="1" customFormat="1" x14ac:dyDescent="0.25">
      <c r="A1646" s="33"/>
      <c r="C1646" s="4"/>
      <c r="E1646" s="30"/>
      <c r="J1646" s="134"/>
    </row>
    <row r="1647" spans="1:10" s="1" customFormat="1" x14ac:dyDescent="0.25">
      <c r="A1647" s="33"/>
      <c r="C1647" s="4"/>
      <c r="E1647" s="30"/>
      <c r="J1647" s="134"/>
    </row>
    <row r="1648" spans="1:10" s="1" customFormat="1" x14ac:dyDescent="0.25">
      <c r="A1648" s="33"/>
      <c r="C1648" s="4"/>
      <c r="E1648" s="30"/>
      <c r="J1648" s="134"/>
    </row>
    <row r="1649" spans="1:10" s="1" customFormat="1" x14ac:dyDescent="0.25">
      <c r="A1649" s="33"/>
      <c r="C1649" s="4"/>
      <c r="E1649" s="30"/>
      <c r="J1649" s="134"/>
    </row>
    <row r="1650" spans="1:10" s="1" customFormat="1" x14ac:dyDescent="0.25">
      <c r="A1650" s="33"/>
      <c r="C1650" s="4"/>
      <c r="E1650" s="30"/>
      <c r="J1650" s="134"/>
    </row>
    <row r="1651" spans="1:10" s="1" customFormat="1" x14ac:dyDescent="0.25">
      <c r="A1651" s="33"/>
      <c r="C1651" s="4"/>
      <c r="E1651" s="30"/>
      <c r="J1651" s="134"/>
    </row>
    <row r="1652" spans="1:10" s="1" customFormat="1" x14ac:dyDescent="0.25">
      <c r="A1652" s="33"/>
      <c r="C1652" s="4"/>
      <c r="E1652" s="30"/>
      <c r="J1652" s="134"/>
    </row>
    <row r="1653" spans="1:10" s="1" customFormat="1" x14ac:dyDescent="0.25">
      <c r="A1653" s="33"/>
      <c r="C1653" s="4"/>
      <c r="E1653" s="30"/>
      <c r="J1653" s="134"/>
    </row>
    <row r="1654" spans="1:10" s="1" customFormat="1" x14ac:dyDescent="0.25">
      <c r="A1654" s="33"/>
      <c r="C1654" s="4"/>
      <c r="E1654" s="30"/>
      <c r="J1654" s="134"/>
    </row>
    <row r="1655" spans="1:10" s="1" customFormat="1" x14ac:dyDescent="0.25">
      <c r="A1655" s="33"/>
      <c r="C1655" s="4"/>
      <c r="E1655" s="30"/>
      <c r="J1655" s="134"/>
    </row>
    <row r="1656" spans="1:10" s="1" customFormat="1" x14ac:dyDescent="0.25">
      <c r="A1656" s="33"/>
      <c r="C1656" s="4"/>
      <c r="E1656" s="30"/>
      <c r="J1656" s="134"/>
    </row>
    <row r="1657" spans="1:10" s="1" customFormat="1" x14ac:dyDescent="0.25">
      <c r="A1657" s="33"/>
      <c r="C1657" s="4"/>
      <c r="E1657" s="30"/>
      <c r="J1657" s="134"/>
    </row>
    <row r="1658" spans="1:10" s="1" customFormat="1" x14ac:dyDescent="0.25">
      <c r="A1658" s="33"/>
      <c r="C1658" s="4"/>
      <c r="E1658" s="30"/>
      <c r="J1658" s="134"/>
    </row>
    <row r="1659" spans="1:10" s="1" customFormat="1" x14ac:dyDescent="0.25">
      <c r="A1659" s="33"/>
      <c r="C1659" s="4"/>
      <c r="E1659" s="30"/>
      <c r="J1659" s="134"/>
    </row>
    <row r="1660" spans="1:10" s="1" customFormat="1" x14ac:dyDescent="0.25">
      <c r="A1660" s="33"/>
      <c r="C1660" s="4"/>
      <c r="E1660" s="30"/>
      <c r="J1660" s="134"/>
    </row>
    <row r="1661" spans="1:10" s="1" customFormat="1" x14ac:dyDescent="0.25">
      <c r="A1661" s="33"/>
      <c r="C1661" s="4"/>
      <c r="E1661" s="30"/>
      <c r="J1661" s="134"/>
    </row>
    <row r="1662" spans="1:10" s="1" customFormat="1" x14ac:dyDescent="0.25">
      <c r="A1662" s="33"/>
      <c r="C1662" s="4"/>
      <c r="E1662" s="30"/>
      <c r="J1662" s="134"/>
    </row>
    <row r="1663" spans="1:10" s="1" customFormat="1" x14ac:dyDescent="0.25">
      <c r="A1663" s="33"/>
      <c r="C1663" s="4"/>
      <c r="E1663" s="30"/>
      <c r="J1663" s="134"/>
    </row>
    <row r="1664" spans="1:10" s="1" customFormat="1" x14ac:dyDescent="0.25">
      <c r="A1664" s="33"/>
      <c r="C1664" s="4"/>
      <c r="E1664" s="30"/>
      <c r="J1664" s="134"/>
    </row>
    <row r="1665" spans="1:10" s="1" customFormat="1" x14ac:dyDescent="0.25">
      <c r="A1665" s="33"/>
      <c r="C1665" s="4"/>
      <c r="E1665" s="30"/>
      <c r="J1665" s="134"/>
    </row>
    <row r="1666" spans="1:10" s="1" customFormat="1" x14ac:dyDescent="0.25">
      <c r="A1666" s="33"/>
      <c r="C1666" s="4"/>
      <c r="E1666" s="30"/>
      <c r="J1666" s="134"/>
    </row>
    <row r="1667" spans="1:10" s="1" customFormat="1" x14ac:dyDescent="0.25">
      <c r="A1667" s="33"/>
      <c r="C1667" s="4"/>
      <c r="E1667" s="30"/>
      <c r="J1667" s="134"/>
    </row>
    <row r="1668" spans="1:10" s="1" customFormat="1" x14ac:dyDescent="0.25">
      <c r="A1668" s="33"/>
      <c r="C1668" s="4"/>
      <c r="E1668" s="30"/>
      <c r="J1668" s="134"/>
    </row>
    <row r="1669" spans="1:10" s="1" customFormat="1" x14ac:dyDescent="0.25">
      <c r="A1669" s="33"/>
      <c r="C1669" s="4"/>
      <c r="E1669" s="30"/>
      <c r="J1669" s="134"/>
    </row>
    <row r="1670" spans="1:10" s="1" customFormat="1" x14ac:dyDescent="0.25">
      <c r="A1670" s="33"/>
      <c r="C1670" s="4"/>
      <c r="E1670" s="30"/>
      <c r="J1670" s="134"/>
    </row>
    <row r="1671" spans="1:10" s="1" customFormat="1" x14ac:dyDescent="0.25">
      <c r="A1671" s="33"/>
      <c r="C1671" s="4"/>
      <c r="E1671" s="30"/>
      <c r="J1671" s="134"/>
    </row>
    <row r="1672" spans="1:10" s="1" customFormat="1" x14ac:dyDescent="0.25">
      <c r="A1672" s="33"/>
      <c r="C1672" s="4"/>
      <c r="E1672" s="30"/>
      <c r="J1672" s="134"/>
    </row>
    <row r="1673" spans="1:10" s="1" customFormat="1" x14ac:dyDescent="0.25">
      <c r="A1673" s="33"/>
      <c r="C1673" s="4"/>
      <c r="E1673" s="30"/>
      <c r="J1673" s="134"/>
    </row>
    <row r="1674" spans="1:10" s="1" customFormat="1" x14ac:dyDescent="0.25">
      <c r="A1674" s="33"/>
      <c r="C1674" s="4"/>
      <c r="E1674" s="30"/>
      <c r="J1674" s="134"/>
    </row>
    <row r="1675" spans="1:10" s="1" customFormat="1" x14ac:dyDescent="0.25">
      <c r="A1675" s="33"/>
      <c r="C1675" s="4"/>
      <c r="E1675" s="30"/>
      <c r="J1675" s="134"/>
    </row>
    <row r="1676" spans="1:10" s="1" customFormat="1" x14ac:dyDescent="0.25">
      <c r="A1676" s="33"/>
      <c r="C1676" s="4"/>
      <c r="E1676" s="30"/>
      <c r="J1676" s="134"/>
    </row>
    <row r="1677" spans="1:10" s="1" customFormat="1" x14ac:dyDescent="0.25">
      <c r="A1677" s="33"/>
      <c r="C1677" s="4"/>
      <c r="E1677" s="30"/>
      <c r="J1677" s="134"/>
    </row>
    <row r="1678" spans="1:10" s="1" customFormat="1" x14ac:dyDescent="0.25">
      <c r="A1678" s="33"/>
      <c r="C1678" s="4"/>
      <c r="E1678" s="30"/>
      <c r="J1678" s="134"/>
    </row>
    <row r="1679" spans="1:10" s="1" customFormat="1" x14ac:dyDescent="0.25">
      <c r="A1679" s="33"/>
      <c r="C1679" s="4"/>
      <c r="E1679" s="30"/>
      <c r="J1679" s="134"/>
    </row>
    <row r="1680" spans="1:10" s="1" customFormat="1" x14ac:dyDescent="0.25">
      <c r="A1680" s="33"/>
      <c r="C1680" s="4"/>
      <c r="E1680" s="30"/>
      <c r="J1680" s="134"/>
    </row>
    <row r="1681" spans="1:10" s="1" customFormat="1" x14ac:dyDescent="0.25">
      <c r="A1681" s="33"/>
      <c r="C1681" s="4"/>
      <c r="E1681" s="30"/>
      <c r="J1681" s="134"/>
    </row>
    <row r="1682" spans="1:10" s="1" customFormat="1" x14ac:dyDescent="0.25">
      <c r="A1682" s="33"/>
      <c r="C1682" s="4"/>
      <c r="E1682" s="30"/>
      <c r="J1682" s="134"/>
    </row>
    <row r="1683" spans="1:10" s="1" customFormat="1" x14ac:dyDescent="0.25">
      <c r="A1683" s="33"/>
      <c r="C1683" s="4"/>
      <c r="E1683" s="30"/>
      <c r="J1683" s="134"/>
    </row>
    <row r="1684" spans="1:10" s="1" customFormat="1" x14ac:dyDescent="0.25">
      <c r="A1684" s="33"/>
      <c r="C1684" s="4"/>
      <c r="E1684" s="30"/>
      <c r="J1684" s="134"/>
    </row>
    <row r="1685" spans="1:10" s="1" customFormat="1" x14ac:dyDescent="0.25">
      <c r="A1685" s="33"/>
      <c r="C1685" s="4"/>
      <c r="E1685" s="30"/>
      <c r="J1685" s="134"/>
    </row>
    <row r="1686" spans="1:10" s="1" customFormat="1" x14ac:dyDescent="0.25">
      <c r="A1686" s="33"/>
      <c r="C1686" s="4"/>
      <c r="E1686" s="30"/>
      <c r="J1686" s="134"/>
    </row>
    <row r="1687" spans="1:10" s="1" customFormat="1" x14ac:dyDescent="0.25">
      <c r="A1687" s="33"/>
      <c r="C1687" s="4"/>
      <c r="E1687" s="30"/>
      <c r="J1687" s="134"/>
    </row>
    <row r="1688" spans="1:10" s="1" customFormat="1" x14ac:dyDescent="0.25">
      <c r="A1688" s="33"/>
      <c r="C1688" s="4"/>
      <c r="E1688" s="30"/>
      <c r="J1688" s="134"/>
    </row>
    <row r="1689" spans="1:10" s="1" customFormat="1" x14ac:dyDescent="0.25">
      <c r="A1689" s="33"/>
      <c r="C1689" s="4"/>
      <c r="E1689" s="30"/>
      <c r="J1689" s="134"/>
    </row>
    <row r="1690" spans="1:10" s="1" customFormat="1" x14ac:dyDescent="0.25">
      <c r="A1690" s="33"/>
      <c r="C1690" s="4"/>
      <c r="E1690" s="30"/>
      <c r="J1690" s="134"/>
    </row>
    <row r="1691" spans="1:10" s="1" customFormat="1" x14ac:dyDescent="0.25">
      <c r="A1691" s="33"/>
      <c r="C1691" s="4"/>
      <c r="E1691" s="30"/>
      <c r="J1691" s="134"/>
    </row>
    <row r="1692" spans="1:10" s="1" customFormat="1" x14ac:dyDescent="0.25">
      <c r="A1692" s="33"/>
      <c r="C1692" s="4"/>
      <c r="E1692" s="30"/>
      <c r="J1692" s="134"/>
    </row>
    <row r="1693" spans="1:10" s="1" customFormat="1" x14ac:dyDescent="0.25">
      <c r="A1693" s="33"/>
      <c r="C1693" s="4"/>
      <c r="E1693" s="30"/>
      <c r="J1693" s="134"/>
    </row>
    <row r="1694" spans="1:10" s="1" customFormat="1" x14ac:dyDescent="0.25">
      <c r="A1694" s="33"/>
      <c r="C1694" s="4"/>
      <c r="E1694" s="30"/>
      <c r="J1694" s="134"/>
    </row>
    <row r="1695" spans="1:10" s="1" customFormat="1" x14ac:dyDescent="0.25">
      <c r="A1695" s="33"/>
      <c r="C1695" s="4"/>
      <c r="E1695" s="30"/>
      <c r="J1695" s="134"/>
    </row>
    <row r="1696" spans="1:10" s="1" customFormat="1" x14ac:dyDescent="0.25">
      <c r="A1696" s="33"/>
      <c r="C1696" s="4"/>
      <c r="E1696" s="30"/>
      <c r="J1696" s="134"/>
    </row>
    <row r="1697" spans="1:10" s="1" customFormat="1" x14ac:dyDescent="0.25">
      <c r="A1697" s="33"/>
      <c r="C1697" s="4"/>
      <c r="E1697" s="30"/>
      <c r="J1697" s="134"/>
    </row>
    <row r="1698" spans="1:10" s="1" customFormat="1" x14ac:dyDescent="0.25">
      <c r="A1698" s="33"/>
      <c r="C1698" s="4"/>
      <c r="E1698" s="30"/>
      <c r="J1698" s="134"/>
    </row>
    <row r="1699" spans="1:10" s="1" customFormat="1" x14ac:dyDescent="0.25">
      <c r="A1699" s="33"/>
      <c r="C1699" s="4"/>
      <c r="E1699" s="30"/>
      <c r="J1699" s="134"/>
    </row>
    <row r="1700" spans="1:10" s="1" customFormat="1" x14ac:dyDescent="0.25">
      <c r="A1700" s="33"/>
      <c r="C1700" s="4"/>
      <c r="E1700" s="30"/>
      <c r="J1700" s="134"/>
    </row>
    <row r="1701" spans="1:10" s="1" customFormat="1" x14ac:dyDescent="0.25">
      <c r="A1701" s="33"/>
      <c r="C1701" s="4"/>
      <c r="E1701" s="30"/>
      <c r="J1701" s="134"/>
    </row>
    <row r="1702" spans="1:10" s="1" customFormat="1" x14ac:dyDescent="0.25">
      <c r="A1702" s="33"/>
      <c r="C1702" s="4"/>
      <c r="E1702" s="30"/>
      <c r="J1702" s="134"/>
    </row>
    <row r="1703" spans="1:10" s="1" customFormat="1" x14ac:dyDescent="0.25">
      <c r="A1703" s="33"/>
      <c r="C1703" s="4"/>
      <c r="E1703" s="30"/>
      <c r="J1703" s="134"/>
    </row>
    <row r="1704" spans="1:10" s="1" customFormat="1" x14ac:dyDescent="0.25">
      <c r="A1704" s="33"/>
      <c r="C1704" s="4"/>
      <c r="E1704" s="30"/>
      <c r="J1704" s="134"/>
    </row>
    <row r="1705" spans="1:10" s="1" customFormat="1" x14ac:dyDescent="0.25">
      <c r="A1705" s="33"/>
      <c r="C1705" s="4"/>
      <c r="E1705" s="30"/>
      <c r="J1705" s="134"/>
    </row>
    <row r="1706" spans="1:10" s="1" customFormat="1" x14ac:dyDescent="0.25">
      <c r="A1706" s="33"/>
      <c r="C1706" s="4"/>
      <c r="E1706" s="30"/>
      <c r="J1706" s="134"/>
    </row>
    <row r="1707" spans="1:10" s="1" customFormat="1" x14ac:dyDescent="0.25">
      <c r="A1707" s="33"/>
      <c r="C1707" s="4"/>
      <c r="E1707" s="30"/>
      <c r="J1707" s="134"/>
    </row>
    <row r="1708" spans="1:10" s="1" customFormat="1" x14ac:dyDescent="0.25">
      <c r="A1708" s="33"/>
      <c r="C1708" s="4"/>
      <c r="E1708" s="30"/>
      <c r="J1708" s="134"/>
    </row>
    <row r="1709" spans="1:10" s="1" customFormat="1" x14ac:dyDescent="0.25">
      <c r="A1709" s="33"/>
      <c r="C1709" s="4"/>
      <c r="E1709" s="30"/>
      <c r="J1709" s="134"/>
    </row>
    <row r="1710" spans="1:10" s="1" customFormat="1" x14ac:dyDescent="0.25">
      <c r="A1710" s="33"/>
      <c r="C1710" s="4"/>
      <c r="E1710" s="30"/>
      <c r="J1710" s="134"/>
    </row>
    <row r="1711" spans="1:10" s="1" customFormat="1" x14ac:dyDescent="0.25">
      <c r="A1711" s="33"/>
      <c r="C1711" s="4"/>
      <c r="E1711" s="30"/>
      <c r="J1711" s="134"/>
    </row>
    <row r="1712" spans="1:10" s="1" customFormat="1" x14ac:dyDescent="0.25">
      <c r="A1712" s="33"/>
      <c r="C1712" s="4"/>
      <c r="E1712" s="30"/>
      <c r="J1712" s="134"/>
    </row>
    <row r="1713" spans="1:10" s="1" customFormat="1" x14ac:dyDescent="0.25">
      <c r="A1713" s="33"/>
      <c r="C1713" s="4"/>
      <c r="E1713" s="30"/>
      <c r="J1713" s="134"/>
    </row>
    <row r="1714" spans="1:10" s="1" customFormat="1" x14ac:dyDescent="0.25">
      <c r="A1714" s="33"/>
      <c r="C1714" s="4"/>
      <c r="E1714" s="30"/>
      <c r="J1714" s="134"/>
    </row>
    <row r="1715" spans="1:10" s="1" customFormat="1" x14ac:dyDescent="0.25">
      <c r="A1715" s="33"/>
      <c r="C1715" s="4"/>
      <c r="E1715" s="30"/>
      <c r="J1715" s="134"/>
    </row>
    <row r="1716" spans="1:10" s="1" customFormat="1" x14ac:dyDescent="0.25">
      <c r="A1716" s="33"/>
      <c r="C1716" s="4"/>
      <c r="E1716" s="30"/>
      <c r="J1716" s="134"/>
    </row>
    <row r="1717" spans="1:10" s="1" customFormat="1" x14ac:dyDescent="0.25">
      <c r="A1717" s="33"/>
      <c r="C1717" s="4"/>
      <c r="E1717" s="30"/>
      <c r="J1717" s="134"/>
    </row>
    <row r="1718" spans="1:10" s="1" customFormat="1" x14ac:dyDescent="0.25">
      <c r="A1718" s="33"/>
      <c r="C1718" s="4"/>
      <c r="E1718" s="30"/>
      <c r="J1718" s="134"/>
    </row>
    <row r="1719" spans="1:10" s="1" customFormat="1" x14ac:dyDescent="0.25">
      <c r="A1719" s="33"/>
      <c r="C1719" s="4"/>
      <c r="E1719" s="30"/>
      <c r="J1719" s="134"/>
    </row>
    <row r="1720" spans="1:10" s="1" customFormat="1" x14ac:dyDescent="0.25">
      <c r="A1720" s="33"/>
      <c r="C1720" s="4"/>
      <c r="E1720" s="30"/>
      <c r="J1720" s="134"/>
    </row>
    <row r="1721" spans="1:10" s="1" customFormat="1" x14ac:dyDescent="0.25">
      <c r="A1721" s="33"/>
      <c r="C1721" s="4"/>
      <c r="E1721" s="30"/>
      <c r="J1721" s="134"/>
    </row>
    <row r="1722" spans="1:10" s="1" customFormat="1" x14ac:dyDescent="0.25">
      <c r="A1722" s="33"/>
      <c r="C1722" s="4"/>
      <c r="E1722" s="30"/>
      <c r="J1722" s="134"/>
    </row>
    <row r="1723" spans="1:10" s="1" customFormat="1" x14ac:dyDescent="0.25">
      <c r="A1723" s="33"/>
      <c r="C1723" s="4"/>
      <c r="E1723" s="30"/>
      <c r="J1723" s="134"/>
    </row>
    <row r="1724" spans="1:10" s="1" customFormat="1" x14ac:dyDescent="0.25">
      <c r="A1724" s="33"/>
      <c r="C1724" s="4"/>
      <c r="E1724" s="30"/>
      <c r="J1724" s="134"/>
    </row>
    <row r="1725" spans="1:10" s="1" customFormat="1" x14ac:dyDescent="0.25">
      <c r="A1725" s="33"/>
      <c r="C1725" s="4"/>
      <c r="E1725" s="30"/>
      <c r="J1725" s="134"/>
    </row>
    <row r="1726" spans="1:10" s="1" customFormat="1" x14ac:dyDescent="0.25">
      <c r="A1726" s="33"/>
      <c r="C1726" s="4"/>
      <c r="E1726" s="30"/>
      <c r="J1726" s="134"/>
    </row>
    <row r="1727" spans="1:10" s="1" customFormat="1" x14ac:dyDescent="0.25">
      <c r="A1727" s="33"/>
      <c r="C1727" s="4"/>
      <c r="E1727" s="30"/>
      <c r="J1727" s="134"/>
    </row>
    <row r="1728" spans="1:10" s="1" customFormat="1" x14ac:dyDescent="0.25">
      <c r="A1728" s="33"/>
      <c r="C1728" s="4"/>
      <c r="E1728" s="30"/>
      <c r="J1728" s="134"/>
    </row>
    <row r="1729" spans="1:10" s="1" customFormat="1" x14ac:dyDescent="0.25">
      <c r="A1729" s="33"/>
      <c r="C1729" s="4"/>
      <c r="E1729" s="30"/>
      <c r="J1729" s="134"/>
    </row>
    <row r="1730" spans="1:10" s="1" customFormat="1" x14ac:dyDescent="0.25">
      <c r="A1730" s="33"/>
      <c r="C1730" s="4"/>
      <c r="E1730" s="30"/>
      <c r="J1730" s="134"/>
    </row>
    <row r="1731" spans="1:10" s="1" customFormat="1" x14ac:dyDescent="0.25">
      <c r="A1731" s="33"/>
      <c r="C1731" s="4"/>
      <c r="E1731" s="30"/>
      <c r="J1731" s="134"/>
    </row>
    <row r="1732" spans="1:10" s="1" customFormat="1" x14ac:dyDescent="0.25">
      <c r="A1732" s="33"/>
      <c r="C1732" s="4"/>
      <c r="E1732" s="30"/>
      <c r="J1732" s="134"/>
    </row>
    <row r="1733" spans="1:10" s="1" customFormat="1" x14ac:dyDescent="0.25">
      <c r="A1733" s="33"/>
      <c r="C1733" s="4"/>
      <c r="E1733" s="30"/>
      <c r="J1733" s="134"/>
    </row>
    <row r="1734" spans="1:10" s="1" customFormat="1" x14ac:dyDescent="0.25">
      <c r="A1734" s="33"/>
      <c r="C1734" s="4"/>
      <c r="E1734" s="30"/>
      <c r="J1734" s="134"/>
    </row>
    <row r="1735" spans="1:10" s="1" customFormat="1" x14ac:dyDescent="0.25">
      <c r="A1735" s="33"/>
      <c r="C1735" s="4"/>
      <c r="E1735" s="30"/>
      <c r="J1735" s="134"/>
    </row>
    <row r="1736" spans="1:10" s="1" customFormat="1" x14ac:dyDescent="0.25">
      <c r="A1736" s="33"/>
      <c r="C1736" s="4"/>
      <c r="E1736" s="30"/>
      <c r="J1736" s="134"/>
    </row>
    <row r="1737" spans="1:10" s="1" customFormat="1" x14ac:dyDescent="0.25">
      <c r="A1737" s="33"/>
      <c r="C1737" s="4"/>
      <c r="E1737" s="30"/>
      <c r="J1737" s="134"/>
    </row>
    <row r="1738" spans="1:10" s="1" customFormat="1" x14ac:dyDescent="0.25">
      <c r="A1738" s="33"/>
      <c r="C1738" s="4"/>
      <c r="E1738" s="30"/>
      <c r="J1738" s="134"/>
    </row>
    <row r="1739" spans="1:10" s="1" customFormat="1" x14ac:dyDescent="0.25">
      <c r="A1739" s="33"/>
      <c r="C1739" s="4"/>
      <c r="E1739" s="30"/>
      <c r="J1739" s="134"/>
    </row>
    <row r="1740" spans="1:10" s="1" customFormat="1" x14ac:dyDescent="0.25">
      <c r="A1740" s="33"/>
      <c r="C1740" s="4"/>
      <c r="E1740" s="30"/>
      <c r="J1740" s="134"/>
    </row>
    <row r="1741" spans="1:10" s="1" customFormat="1" x14ac:dyDescent="0.25">
      <c r="A1741" s="33"/>
      <c r="C1741" s="4"/>
      <c r="E1741" s="30"/>
      <c r="J1741" s="134"/>
    </row>
    <row r="1742" spans="1:10" s="1" customFormat="1" x14ac:dyDescent="0.25">
      <c r="A1742" s="33"/>
      <c r="C1742" s="4"/>
      <c r="E1742" s="30"/>
      <c r="J1742" s="134"/>
    </row>
    <row r="1743" spans="1:10" s="1" customFormat="1" x14ac:dyDescent="0.25">
      <c r="A1743" s="33"/>
      <c r="C1743" s="4"/>
      <c r="E1743" s="30"/>
      <c r="J1743" s="134"/>
    </row>
    <row r="1744" spans="1:10" s="1" customFormat="1" x14ac:dyDescent="0.25">
      <c r="A1744" s="33"/>
      <c r="C1744" s="4"/>
      <c r="E1744" s="30"/>
      <c r="J1744" s="134"/>
    </row>
    <row r="1745" spans="1:10" s="1" customFormat="1" x14ac:dyDescent="0.25">
      <c r="A1745" s="33"/>
      <c r="C1745" s="4"/>
      <c r="E1745" s="30"/>
      <c r="J1745" s="134"/>
    </row>
    <row r="1746" spans="1:10" s="1" customFormat="1" x14ac:dyDescent="0.25">
      <c r="A1746" s="33"/>
      <c r="C1746" s="4"/>
      <c r="E1746" s="30"/>
      <c r="J1746" s="134"/>
    </row>
    <row r="1747" spans="1:10" s="1" customFormat="1" x14ac:dyDescent="0.25">
      <c r="A1747" s="33"/>
      <c r="C1747" s="4"/>
      <c r="E1747" s="30"/>
      <c r="J1747" s="134"/>
    </row>
    <row r="1748" spans="1:10" s="1" customFormat="1" x14ac:dyDescent="0.25">
      <c r="A1748" s="33"/>
      <c r="C1748" s="4"/>
      <c r="E1748" s="30"/>
      <c r="J1748" s="134"/>
    </row>
    <row r="1749" spans="1:10" s="1" customFormat="1" x14ac:dyDescent="0.25">
      <c r="A1749" s="33"/>
      <c r="C1749" s="4"/>
      <c r="E1749" s="30"/>
      <c r="J1749" s="134"/>
    </row>
    <row r="1750" spans="1:10" s="1" customFormat="1" x14ac:dyDescent="0.25">
      <c r="A1750" s="33"/>
      <c r="C1750" s="4"/>
      <c r="E1750" s="30"/>
      <c r="J1750" s="134"/>
    </row>
    <row r="1751" spans="1:10" s="1" customFormat="1" x14ac:dyDescent="0.25">
      <c r="A1751" s="33"/>
      <c r="C1751" s="4"/>
      <c r="E1751" s="30"/>
      <c r="J1751" s="134"/>
    </row>
    <row r="1752" spans="1:10" s="1" customFormat="1" x14ac:dyDescent="0.25">
      <c r="A1752" s="33"/>
      <c r="C1752" s="4"/>
      <c r="E1752" s="30"/>
      <c r="J1752" s="134"/>
    </row>
    <row r="1753" spans="1:10" s="1" customFormat="1" x14ac:dyDescent="0.25">
      <c r="A1753" s="33"/>
      <c r="C1753" s="4"/>
      <c r="E1753" s="30"/>
      <c r="J1753" s="134"/>
    </row>
    <row r="1754" spans="1:10" s="1" customFormat="1" x14ac:dyDescent="0.25">
      <c r="A1754" s="33"/>
      <c r="C1754" s="4"/>
      <c r="E1754" s="30"/>
      <c r="J1754" s="134"/>
    </row>
    <row r="1755" spans="1:10" s="1" customFormat="1" x14ac:dyDescent="0.25">
      <c r="A1755" s="33"/>
      <c r="C1755" s="4"/>
      <c r="E1755" s="30"/>
      <c r="J1755" s="134"/>
    </row>
    <row r="1756" spans="1:10" s="1" customFormat="1" x14ac:dyDescent="0.25">
      <c r="A1756" s="33"/>
      <c r="C1756" s="4"/>
      <c r="E1756" s="30"/>
      <c r="J1756" s="134"/>
    </row>
    <row r="1757" spans="1:10" s="1" customFormat="1" x14ac:dyDescent="0.25">
      <c r="A1757" s="33"/>
      <c r="C1757" s="4"/>
      <c r="E1757" s="30"/>
      <c r="J1757" s="134"/>
    </row>
    <row r="1758" spans="1:10" s="1" customFormat="1" x14ac:dyDescent="0.25">
      <c r="A1758" s="33"/>
      <c r="C1758" s="4"/>
      <c r="E1758" s="30"/>
      <c r="J1758" s="134"/>
    </row>
    <row r="1759" spans="1:10" s="1" customFormat="1" x14ac:dyDescent="0.25">
      <c r="A1759" s="33"/>
      <c r="C1759" s="4"/>
      <c r="E1759" s="30"/>
      <c r="J1759" s="134"/>
    </row>
    <row r="1760" spans="1:10" s="1" customFormat="1" x14ac:dyDescent="0.25">
      <c r="A1760" s="33"/>
      <c r="C1760" s="4"/>
      <c r="E1760" s="30"/>
      <c r="J1760" s="134"/>
    </row>
    <row r="1761" spans="1:10" s="1" customFormat="1" x14ac:dyDescent="0.25">
      <c r="A1761" s="33"/>
      <c r="C1761" s="4"/>
      <c r="E1761" s="30"/>
      <c r="J1761" s="134"/>
    </row>
    <row r="1762" spans="1:10" s="1" customFormat="1" x14ac:dyDescent="0.25">
      <c r="A1762" s="33"/>
      <c r="C1762" s="4"/>
      <c r="E1762" s="30"/>
      <c r="J1762" s="134"/>
    </row>
    <row r="1763" spans="1:10" s="1" customFormat="1" x14ac:dyDescent="0.25">
      <c r="A1763" s="33"/>
      <c r="C1763" s="4"/>
      <c r="E1763" s="30"/>
      <c r="J1763" s="134"/>
    </row>
    <row r="1764" spans="1:10" s="1" customFormat="1" x14ac:dyDescent="0.25">
      <c r="A1764" s="33"/>
      <c r="C1764" s="4"/>
      <c r="E1764" s="30"/>
      <c r="J1764" s="134"/>
    </row>
    <row r="1765" spans="1:10" s="1" customFormat="1" x14ac:dyDescent="0.25">
      <c r="A1765" s="33"/>
      <c r="C1765" s="4"/>
      <c r="E1765" s="30"/>
      <c r="J1765" s="134"/>
    </row>
    <row r="1766" spans="1:10" s="1" customFormat="1" x14ac:dyDescent="0.25">
      <c r="A1766" s="33"/>
      <c r="C1766" s="4"/>
      <c r="E1766" s="30"/>
      <c r="J1766" s="134"/>
    </row>
    <row r="1767" spans="1:10" s="1" customFormat="1" x14ac:dyDescent="0.25">
      <c r="A1767" s="33"/>
      <c r="C1767" s="4"/>
      <c r="E1767" s="30"/>
      <c r="J1767" s="134"/>
    </row>
    <row r="1768" spans="1:10" s="1" customFormat="1" x14ac:dyDescent="0.25">
      <c r="A1768" s="33"/>
      <c r="C1768" s="4"/>
      <c r="E1768" s="30"/>
      <c r="J1768" s="134"/>
    </row>
    <row r="1769" spans="1:10" s="1" customFormat="1" x14ac:dyDescent="0.25">
      <c r="A1769" s="33"/>
      <c r="C1769" s="4"/>
      <c r="E1769" s="30"/>
      <c r="J1769" s="134"/>
    </row>
    <row r="1770" spans="1:10" s="1" customFormat="1" x14ac:dyDescent="0.25">
      <c r="A1770" s="33"/>
      <c r="C1770" s="4"/>
      <c r="E1770" s="30"/>
      <c r="J1770" s="134"/>
    </row>
    <row r="1771" spans="1:10" s="1" customFormat="1" x14ac:dyDescent="0.25">
      <c r="A1771" s="33"/>
      <c r="C1771" s="4"/>
      <c r="E1771" s="30"/>
      <c r="J1771" s="134"/>
    </row>
    <row r="1772" spans="1:10" s="1" customFormat="1" x14ac:dyDescent="0.25">
      <c r="A1772" s="33"/>
      <c r="C1772" s="4"/>
      <c r="E1772" s="30"/>
      <c r="J1772" s="134"/>
    </row>
    <row r="1773" spans="1:10" s="1" customFormat="1" x14ac:dyDescent="0.25">
      <c r="A1773" s="33"/>
      <c r="C1773" s="4"/>
      <c r="E1773" s="30"/>
      <c r="J1773" s="134"/>
    </row>
    <row r="1774" spans="1:10" s="1" customFormat="1" x14ac:dyDescent="0.25">
      <c r="A1774" s="33"/>
      <c r="C1774" s="4"/>
      <c r="E1774" s="30"/>
      <c r="J1774" s="134"/>
    </row>
    <row r="1775" spans="1:10" s="1" customFormat="1" x14ac:dyDescent="0.25">
      <c r="A1775" s="33"/>
      <c r="C1775" s="4"/>
      <c r="E1775" s="30"/>
      <c r="J1775" s="134"/>
    </row>
    <row r="1776" spans="1:10" s="1" customFormat="1" x14ac:dyDescent="0.25">
      <c r="A1776" s="33"/>
      <c r="C1776" s="4"/>
      <c r="E1776" s="30"/>
      <c r="J1776" s="134"/>
    </row>
    <row r="1777" spans="1:10" s="1" customFormat="1" x14ac:dyDescent="0.25">
      <c r="A1777" s="33"/>
      <c r="C1777" s="4"/>
      <c r="E1777" s="30"/>
      <c r="J1777" s="134"/>
    </row>
    <row r="1778" spans="1:10" s="1" customFormat="1" x14ac:dyDescent="0.25">
      <c r="A1778" s="33"/>
      <c r="C1778" s="4"/>
      <c r="E1778" s="30"/>
      <c r="J1778" s="134"/>
    </row>
    <row r="1779" spans="1:10" s="1" customFormat="1" x14ac:dyDescent="0.25">
      <c r="A1779" s="33"/>
      <c r="C1779" s="4"/>
      <c r="E1779" s="30"/>
      <c r="J1779" s="134"/>
    </row>
    <row r="1780" spans="1:10" s="1" customFormat="1" x14ac:dyDescent="0.25">
      <c r="A1780" s="33"/>
      <c r="C1780" s="4"/>
      <c r="E1780" s="30"/>
      <c r="J1780" s="134"/>
    </row>
    <row r="1781" spans="1:10" s="1" customFormat="1" x14ac:dyDescent="0.25">
      <c r="A1781" s="33"/>
      <c r="C1781" s="4"/>
      <c r="E1781" s="30"/>
      <c r="J1781" s="134"/>
    </row>
    <row r="1782" spans="1:10" s="1" customFormat="1" x14ac:dyDescent="0.25">
      <c r="A1782" s="33"/>
      <c r="C1782" s="4"/>
      <c r="E1782" s="30"/>
      <c r="J1782" s="134"/>
    </row>
    <row r="1783" spans="1:10" s="1" customFormat="1" x14ac:dyDescent="0.25">
      <c r="A1783" s="33"/>
      <c r="C1783" s="4"/>
      <c r="E1783" s="30"/>
      <c r="J1783" s="134"/>
    </row>
    <row r="1784" spans="1:10" s="1" customFormat="1" x14ac:dyDescent="0.25">
      <c r="A1784" s="33"/>
      <c r="C1784" s="4"/>
      <c r="E1784" s="30"/>
      <c r="J1784" s="134"/>
    </row>
    <row r="1785" spans="1:10" s="1" customFormat="1" x14ac:dyDescent="0.25">
      <c r="A1785" s="33"/>
      <c r="C1785" s="4"/>
      <c r="E1785" s="30"/>
      <c r="J1785" s="134"/>
    </row>
    <row r="1786" spans="1:10" s="1" customFormat="1" x14ac:dyDescent="0.25">
      <c r="A1786" s="33"/>
      <c r="C1786" s="4"/>
      <c r="E1786" s="30"/>
      <c r="J1786" s="134"/>
    </row>
    <row r="1787" spans="1:10" s="1" customFormat="1" x14ac:dyDescent="0.25">
      <c r="A1787" s="33"/>
      <c r="C1787" s="4"/>
      <c r="E1787" s="30"/>
      <c r="J1787" s="134"/>
    </row>
    <row r="1788" spans="1:10" s="1" customFormat="1" x14ac:dyDescent="0.25">
      <c r="A1788" s="33"/>
      <c r="C1788" s="4"/>
      <c r="E1788" s="30"/>
      <c r="J1788" s="134"/>
    </row>
    <row r="1789" spans="1:10" s="1" customFormat="1" x14ac:dyDescent="0.25">
      <c r="A1789" s="33"/>
      <c r="C1789" s="4"/>
      <c r="E1789" s="30"/>
      <c r="J1789" s="134"/>
    </row>
    <row r="1790" spans="1:10" s="1" customFormat="1" x14ac:dyDescent="0.25">
      <c r="A1790" s="33"/>
      <c r="C1790" s="4"/>
      <c r="E1790" s="30"/>
      <c r="J1790" s="134"/>
    </row>
    <row r="1791" spans="1:10" s="1" customFormat="1" x14ac:dyDescent="0.25">
      <c r="A1791" s="33"/>
      <c r="C1791" s="4"/>
      <c r="E1791" s="30"/>
      <c r="J1791" s="134"/>
    </row>
    <row r="1792" spans="1:10" s="1" customFormat="1" x14ac:dyDescent="0.25">
      <c r="A1792" s="33"/>
      <c r="C1792" s="4"/>
      <c r="E1792" s="30"/>
      <c r="J1792" s="134"/>
    </row>
    <row r="1793" spans="1:10" s="1" customFormat="1" x14ac:dyDescent="0.25">
      <c r="A1793" s="33"/>
      <c r="C1793" s="4"/>
      <c r="E1793" s="30"/>
      <c r="J1793" s="134"/>
    </row>
    <row r="1794" spans="1:10" s="1" customFormat="1" x14ac:dyDescent="0.25">
      <c r="A1794" s="33"/>
      <c r="C1794" s="4"/>
      <c r="E1794" s="30"/>
      <c r="J1794" s="134"/>
    </row>
    <row r="1795" spans="1:10" s="1" customFormat="1" x14ac:dyDescent="0.25">
      <c r="A1795" s="33"/>
      <c r="C1795" s="4"/>
      <c r="E1795" s="30"/>
      <c r="J1795" s="134"/>
    </row>
    <row r="1796" spans="1:10" s="1" customFormat="1" x14ac:dyDescent="0.25">
      <c r="A1796" s="33"/>
      <c r="C1796" s="4"/>
      <c r="E1796" s="30"/>
      <c r="J1796" s="134"/>
    </row>
    <row r="1797" spans="1:10" s="1" customFormat="1" x14ac:dyDescent="0.25">
      <c r="A1797" s="33"/>
      <c r="C1797" s="4"/>
      <c r="E1797" s="30"/>
      <c r="J1797" s="134"/>
    </row>
    <row r="1798" spans="1:10" s="1" customFormat="1" x14ac:dyDescent="0.25">
      <c r="A1798" s="33"/>
      <c r="C1798" s="4"/>
      <c r="E1798" s="30"/>
      <c r="J1798" s="134"/>
    </row>
    <row r="1799" spans="1:10" s="1" customFormat="1" x14ac:dyDescent="0.25">
      <c r="A1799" s="33"/>
      <c r="C1799" s="4"/>
      <c r="E1799" s="30"/>
      <c r="J1799" s="134"/>
    </row>
    <row r="1800" spans="1:10" s="1" customFormat="1" x14ac:dyDescent="0.25">
      <c r="A1800" s="33"/>
      <c r="C1800" s="4"/>
      <c r="E1800" s="30"/>
      <c r="J1800" s="134"/>
    </row>
    <row r="1801" spans="1:10" s="1" customFormat="1" x14ac:dyDescent="0.25">
      <c r="A1801" s="33"/>
      <c r="C1801" s="4"/>
      <c r="E1801" s="30"/>
      <c r="J1801" s="134"/>
    </row>
  </sheetData>
  <sheetProtection insertColumns="0" insertRows="0" deleteColumns="0" deleteRows="0"/>
  <conditionalFormatting sqref="C57">
    <cfRule type="expression" dxfId="6" priority="17" stopIfTrue="1">
      <formula>#REF!&lt;0</formula>
    </cfRule>
  </conditionalFormatting>
  <conditionalFormatting sqref="C38:D38">
    <cfRule type="expression" dxfId="5" priority="8" stopIfTrue="1">
      <formula>$E38&lt;0</formula>
    </cfRule>
  </conditionalFormatting>
  <conditionalFormatting sqref="D23:D24 C25:C31 C34 C36:C39 D39 C41 B42 C43:C56 C58">
    <cfRule type="expression" dxfId="4" priority="11" stopIfTrue="1">
      <formula>$E23&lt;0</formula>
    </cfRule>
  </conditionalFormatting>
  <conditionalFormatting sqref="D26:D35">
    <cfRule type="expression" dxfId="3" priority="4" stopIfTrue="1">
      <formula>$E26&lt;0</formula>
    </cfRule>
  </conditionalFormatting>
  <conditionalFormatting sqref="D37">
    <cfRule type="expression" dxfId="2" priority="5" stopIfTrue="1">
      <formula>$E37&lt;0</formula>
    </cfRule>
  </conditionalFormatting>
  <conditionalFormatting sqref="D41:D58">
    <cfRule type="expression" dxfId="1" priority="1" stopIfTrue="1">
      <formula>$E41&lt;0</formula>
    </cfRule>
  </conditionalFormatting>
  <conditionalFormatting sqref="F60:BJ61">
    <cfRule type="cellIs" dxfId="0" priority="15" operator="lessThan">
      <formula>0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ED9A-4092-4D01-944D-79DDEC5ABFF3}">
  <sheetPr filterMode="1"/>
  <dimension ref="A1:AR4126"/>
  <sheetViews>
    <sheetView workbookViewId="0">
      <pane ySplit="6" topLeftCell="A7" activePane="bottomLeft" state="frozenSplit"/>
      <selection pane="bottomLeft" activeCell="K19" sqref="K19"/>
    </sheetView>
  </sheetViews>
  <sheetFormatPr defaultRowHeight="15" x14ac:dyDescent="0.25"/>
  <cols>
    <col min="1" max="1" width="9.7109375" style="9" bestFit="1" customWidth="1"/>
    <col min="2" max="2" width="8.42578125" style="9" bestFit="1" customWidth="1"/>
    <col min="3" max="3" width="28.42578125" style="109" bestFit="1" customWidth="1"/>
    <col min="4" max="4" width="10.42578125" style="10" customWidth="1"/>
    <col min="5" max="5" width="21.7109375" style="10" customWidth="1"/>
    <col min="6" max="6" width="9.140625" style="1"/>
    <col min="7" max="7" width="4.42578125" style="1" customWidth="1"/>
    <col min="8" max="8" width="29.28515625" style="1" customWidth="1"/>
    <col min="9" max="9" width="7.42578125" style="1" bestFit="1" customWidth="1"/>
    <col min="10" max="10" width="6.5703125" style="1" bestFit="1" customWidth="1"/>
    <col min="11" max="11" width="42.5703125" style="1" customWidth="1"/>
    <col min="12" max="12" width="8.42578125" style="1" bestFit="1" customWidth="1"/>
    <col min="13" max="13" width="13.5703125" style="1" customWidth="1"/>
    <col min="14" max="14" width="13.7109375" style="1" customWidth="1"/>
    <col min="15" max="15" width="14.5703125" style="1" customWidth="1"/>
    <col min="16" max="16" width="15.5703125" style="1" bestFit="1" customWidth="1"/>
    <col min="17" max="17" width="7.7109375" style="1" customWidth="1"/>
    <col min="18" max="16384" width="9.140625" style="1"/>
  </cols>
  <sheetData>
    <row r="1" spans="1:44" ht="15.75" thickBot="1" x14ac:dyDescent="0.3">
      <c r="A1" s="82"/>
      <c r="B1" s="82"/>
      <c r="C1" s="107"/>
      <c r="D1" s="83"/>
      <c r="E1" s="83"/>
      <c r="F1" s="38">
        <f ca="1">IF(H1=0,"",41824+(ROUNDUP(DAYS360(41824,H1)/7,0)*7))</f>
        <v>45821</v>
      </c>
      <c r="H1" s="71">
        <f ca="1">TODAY()</f>
        <v>45877</v>
      </c>
      <c r="I1" s="74" t="s">
        <v>37</v>
      </c>
      <c r="J1" s="75" t="s">
        <v>39</v>
      </c>
      <c r="K1" s="75" t="s">
        <v>31</v>
      </c>
      <c r="L1" s="62" t="s">
        <v>29</v>
      </c>
      <c r="M1" s="63"/>
      <c r="N1" s="62" t="s">
        <v>30</v>
      </c>
      <c r="O1" s="64"/>
      <c r="P1" s="137" t="s">
        <v>36</v>
      </c>
      <c r="Q1" s="138"/>
      <c r="R1" s="58"/>
      <c r="S1" s="71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</row>
    <row r="2" spans="1:44" ht="17.25" thickTop="1" thickBot="1" x14ac:dyDescent="0.3">
      <c r="A2" s="84" t="s">
        <v>8</v>
      </c>
      <c r="B2" s="84" t="s">
        <v>9</v>
      </c>
      <c r="C2" s="108" t="s">
        <v>10</v>
      </c>
      <c r="D2" s="85" t="s">
        <v>11</v>
      </c>
      <c r="E2" s="85" t="s">
        <v>16</v>
      </c>
      <c r="H2" s="72" t="s">
        <v>28</v>
      </c>
      <c r="I2" s="76" t="s">
        <v>38</v>
      </c>
      <c r="J2" s="76" t="s">
        <v>35</v>
      </c>
      <c r="K2" s="76" t="s">
        <v>32</v>
      </c>
      <c r="L2" s="65" t="s">
        <v>34</v>
      </c>
      <c r="M2" s="66" t="s">
        <v>33</v>
      </c>
      <c r="N2" s="65" t="s">
        <v>34</v>
      </c>
      <c r="O2" s="67" t="s">
        <v>33</v>
      </c>
      <c r="P2" s="78" t="s">
        <v>41</v>
      </c>
      <c r="Q2" s="79" t="s">
        <v>8</v>
      </c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</row>
    <row r="3" spans="1:44" ht="15.75" thickTop="1" x14ac:dyDescent="0.25">
      <c r="A3" s="8">
        <v>43736</v>
      </c>
      <c r="B3" s="8">
        <f>IF(A3=0,"",41824+(ROUNDUP(DAYS360(41824,A3)/7,0)*7))+21+7</f>
        <v>43742</v>
      </c>
      <c r="C3" s="109" t="s">
        <v>43</v>
      </c>
      <c r="D3" s="10">
        <v>1000</v>
      </c>
      <c r="E3" s="10" t="s">
        <v>42</v>
      </c>
      <c r="H3" s="73" t="str">
        <f>Balance!C23</f>
        <v>APAP</v>
      </c>
      <c r="I3" s="1">
        <v>20</v>
      </c>
      <c r="J3" s="1">
        <v>1</v>
      </c>
      <c r="K3" s="77">
        <f ca="1">IF(DATE(YEAR($H$1),MONTH($H$1),J3)&gt;$H$1,DATE(YEAR($H$1),MONTH($H$1),J3),DATE(YEAR($H$1),MONTH($H$1)+1,J3))</f>
        <v>45901</v>
      </c>
      <c r="L3" s="21">
        <f ca="1">SUMIF(Balance!$1:$1,"&lt;="&amp;K3+I3,Balance!$23:$23)</f>
        <v>0</v>
      </c>
      <c r="M3" s="1">
        <f ca="1">SUMIF(Balance!$1:$1,"&lt;="&amp;H1,Balance!$23:$23)</f>
        <v>0</v>
      </c>
      <c r="N3" s="21">
        <f ca="1">SUMIFS(D:D,A:A,"&lt;="&amp;K3,E:E,H3)</f>
        <v>1000</v>
      </c>
      <c r="O3" s="22">
        <f ca="1">SUMIFS(D:D,A:A,"&lt;="&amp;$H$1,E:E,H3)</f>
        <v>1000</v>
      </c>
      <c r="P3" s="80">
        <f t="shared" ref="P3:Q5" ca="1" si="0">L3-N3</f>
        <v>-1000</v>
      </c>
      <c r="Q3" s="81">
        <f t="shared" ca="1" si="0"/>
        <v>-1000</v>
      </c>
      <c r="R3" s="58"/>
      <c r="S3" s="58">
        <f>365*44</f>
        <v>16060</v>
      </c>
      <c r="T3" s="58">
        <f ca="1">+Q3+S3</f>
        <v>15060</v>
      </c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</row>
    <row r="4" spans="1:44" x14ac:dyDescent="0.25">
      <c r="A4" s="8">
        <v>43739</v>
      </c>
      <c r="B4" s="8">
        <f>IF(A4=0,"",41824+(ROUNDUP(DAYS360(41824,A4)/7,0)*7))+21+7</f>
        <v>43742</v>
      </c>
      <c r="C4" s="109" t="s">
        <v>57</v>
      </c>
      <c r="D4" s="10">
        <v>4500</v>
      </c>
      <c r="E4" s="10" t="s">
        <v>5</v>
      </c>
      <c r="H4" s="73" t="str">
        <f>Balance!C35</f>
        <v>BR</v>
      </c>
      <c r="I4" s="1">
        <v>22</v>
      </c>
      <c r="J4" s="1">
        <v>15</v>
      </c>
      <c r="K4" s="77">
        <f ca="1">IF(DATE(YEAR($H$1),MONTH($H$1),J4)&gt;$H$1,DATE(YEAR($H$1),MONTH($H$1),J4),DATE(YEAR($H$1),MONTH($H$1)+1,J4))</f>
        <v>45884</v>
      </c>
      <c r="L4" s="21">
        <f ca="1">SUMIF(Balance!$1:$1,"&lt;="&amp;K4+I4,Balance!$35:$35)</f>
        <v>0</v>
      </c>
      <c r="M4" s="1">
        <f ca="1">SUMIF(Balance!$1:$1,"&lt;="&amp;H1,Balance!$35:$236)</f>
        <v>0</v>
      </c>
      <c r="N4" s="21">
        <f ca="1">SUMIFS(D:D,A:A,"&lt;="&amp;K4,E:E,H4)</f>
        <v>0</v>
      </c>
      <c r="O4" s="22">
        <f ca="1">SUMIFS(D:D,A:A,"&lt;="&amp;$H$1,E:E,H4)</f>
        <v>0</v>
      </c>
      <c r="P4" s="80">
        <f ca="1">L4-N4</f>
        <v>0</v>
      </c>
      <c r="Q4" s="81">
        <f t="shared" ca="1" si="0"/>
        <v>0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</row>
    <row r="5" spans="1:44" x14ac:dyDescent="0.25">
      <c r="A5" s="8"/>
      <c r="B5" s="8" t="e">
        <f>IF(A5=0,"",41824+(ROUNDUP(DAYS360(41824,A5)/7,0)*7))+21+7</f>
        <v>#VALUE!</v>
      </c>
      <c r="C5" s="109" t="s">
        <v>53</v>
      </c>
      <c r="E5" s="10" t="s">
        <v>5</v>
      </c>
      <c r="H5" s="73" t="str">
        <f>Balance!C43</f>
        <v>Banco Popular</v>
      </c>
      <c r="K5" s="77">
        <f ca="1">IF(DATE(YEAR($H$1),MONTH($H$1),J5)&gt;$H$1,DATE(YEAR($H$1),MONTH($H$1),J5),DATE(YEAR($H$1),MONTH($H$1)+1,J5))</f>
        <v>45900</v>
      </c>
      <c r="L5" s="21"/>
      <c r="N5" s="21"/>
      <c r="O5" s="22"/>
      <c r="P5" s="80">
        <f t="shared" si="0"/>
        <v>0</v>
      </c>
      <c r="Q5" s="81">
        <f t="shared" si="0"/>
        <v>0</v>
      </c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</row>
    <row r="6" spans="1:44" x14ac:dyDescent="0.25">
      <c r="A6" s="8"/>
      <c r="B6" s="8"/>
      <c r="E6" s="10" t="s">
        <v>5</v>
      </c>
      <c r="H6" s="73" t="s">
        <v>20</v>
      </c>
      <c r="K6" s="58"/>
      <c r="L6" s="21"/>
      <c r="N6" s="21"/>
      <c r="O6" s="22"/>
      <c r="P6" s="80"/>
      <c r="Q6" s="81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</row>
    <row r="7" spans="1:44" x14ac:dyDescent="0.25">
      <c r="A7" s="8"/>
      <c r="B7" s="8" t="str">
        <f t="shared" ref="B7:B67" si="1">IF(A7=0,"",41824+(ROUNDUP(DAYS360(41824,A7)/7,0)*7))</f>
        <v/>
      </c>
      <c r="H7" s="17"/>
      <c r="K7" s="23"/>
      <c r="L7" s="21"/>
      <c r="N7" s="21"/>
      <c r="O7" s="22"/>
      <c r="P7" s="34"/>
      <c r="Q7" s="35"/>
    </row>
    <row r="8" spans="1:44" x14ac:dyDescent="0.25">
      <c r="A8" s="8"/>
      <c r="B8" s="8" t="str">
        <f t="shared" si="1"/>
        <v/>
      </c>
      <c r="H8" s="17"/>
      <c r="L8" s="21"/>
      <c r="N8" s="21"/>
      <c r="O8" s="22"/>
      <c r="P8" s="34"/>
      <c r="Q8" s="35"/>
    </row>
    <row r="9" spans="1:44" x14ac:dyDescent="0.25">
      <c r="A9" s="8"/>
      <c r="B9" s="8" t="str">
        <f t="shared" si="1"/>
        <v/>
      </c>
      <c r="H9" s="17"/>
      <c r="L9" s="21"/>
      <c r="N9" s="21"/>
      <c r="O9" s="22"/>
      <c r="P9" s="34"/>
      <c r="Q9" s="35"/>
    </row>
    <row r="10" spans="1:44" x14ac:dyDescent="0.25">
      <c r="A10" s="8"/>
      <c r="B10" s="8" t="str">
        <f t="shared" si="1"/>
        <v/>
      </c>
      <c r="H10" s="17"/>
      <c r="L10" s="21"/>
      <c r="N10" s="21"/>
      <c r="O10" s="22"/>
      <c r="P10" s="34"/>
      <c r="Q10" s="35"/>
    </row>
    <row r="11" spans="1:44" x14ac:dyDescent="0.25">
      <c r="A11" s="8"/>
      <c r="B11" s="8" t="str">
        <f t="shared" si="1"/>
        <v/>
      </c>
      <c r="H11" s="17"/>
      <c r="L11" s="21"/>
      <c r="N11" s="21"/>
      <c r="O11" s="22"/>
      <c r="P11" s="34"/>
      <c r="Q11" s="35"/>
    </row>
    <row r="12" spans="1:44" x14ac:dyDescent="0.25">
      <c r="A12" s="8"/>
      <c r="B12" s="8" t="str">
        <f t="shared" si="1"/>
        <v/>
      </c>
      <c r="H12" s="17"/>
      <c r="L12" s="21"/>
      <c r="N12" s="21"/>
      <c r="O12" s="22"/>
      <c r="P12" s="34"/>
      <c r="Q12" s="35"/>
    </row>
    <row r="13" spans="1:44" ht="15.75" thickBot="1" x14ac:dyDescent="0.3">
      <c r="A13" s="8"/>
      <c r="B13" s="8" t="str">
        <f t="shared" si="1"/>
        <v/>
      </c>
      <c r="H13" s="18"/>
      <c r="I13" s="24"/>
      <c r="J13" s="24"/>
      <c r="K13" s="24"/>
      <c r="L13" s="25"/>
      <c r="M13" s="24"/>
      <c r="N13" s="25"/>
      <c r="O13" s="26"/>
      <c r="P13" s="36"/>
      <c r="Q13" s="37"/>
    </row>
    <row r="14" spans="1:44" x14ac:dyDescent="0.25">
      <c r="A14" s="8"/>
      <c r="B14" s="8" t="str">
        <f t="shared" si="1"/>
        <v/>
      </c>
    </row>
    <row r="15" spans="1:44" x14ac:dyDescent="0.25">
      <c r="A15" s="8"/>
      <c r="B15" s="8" t="str">
        <f t="shared" si="1"/>
        <v/>
      </c>
    </row>
    <row r="16" spans="1:44" x14ac:dyDescent="0.25">
      <c r="A16" s="8"/>
      <c r="B16" s="8" t="str">
        <f t="shared" si="1"/>
        <v/>
      </c>
      <c r="G16" s="28"/>
      <c r="H16" s="27" t="s">
        <v>40</v>
      </c>
    </row>
    <row r="17" spans="1:8" x14ac:dyDescent="0.25">
      <c r="A17" s="8"/>
      <c r="B17" s="8" t="str">
        <f t="shared" si="1"/>
        <v/>
      </c>
      <c r="G17" s="28">
        <f>G16+1</f>
        <v>1</v>
      </c>
      <c r="H17" s="86"/>
    </row>
    <row r="18" spans="1:8" x14ac:dyDescent="0.25">
      <c r="A18" s="8"/>
      <c r="B18" s="8" t="str">
        <f t="shared" si="1"/>
        <v/>
      </c>
      <c r="G18" s="28">
        <f t="shared" ref="G18:G33" si="2">G17+1</f>
        <v>2</v>
      </c>
      <c r="H18" s="87"/>
    </row>
    <row r="19" spans="1:8" x14ac:dyDescent="0.25">
      <c r="A19" s="8"/>
      <c r="B19" s="8" t="str">
        <f t="shared" si="1"/>
        <v/>
      </c>
      <c r="G19" s="28">
        <f t="shared" si="2"/>
        <v>3</v>
      </c>
      <c r="H19" s="87"/>
    </row>
    <row r="20" spans="1:8" x14ac:dyDescent="0.25">
      <c r="A20" s="8"/>
      <c r="B20" s="8" t="str">
        <f t="shared" si="1"/>
        <v/>
      </c>
      <c r="G20" s="28">
        <f t="shared" si="2"/>
        <v>4</v>
      </c>
      <c r="H20" s="87"/>
    </row>
    <row r="21" spans="1:8" x14ac:dyDescent="0.25">
      <c r="A21" s="8"/>
      <c r="B21" s="8" t="str">
        <f t="shared" si="1"/>
        <v/>
      </c>
      <c r="G21" s="28">
        <f t="shared" si="2"/>
        <v>5</v>
      </c>
      <c r="H21" s="87"/>
    </row>
    <row r="22" spans="1:8" x14ac:dyDescent="0.25">
      <c r="A22" s="8"/>
      <c r="B22" s="8" t="str">
        <f t="shared" si="1"/>
        <v/>
      </c>
      <c r="G22" s="28">
        <f t="shared" si="2"/>
        <v>6</v>
      </c>
      <c r="H22" s="87"/>
    </row>
    <row r="23" spans="1:8" x14ac:dyDescent="0.25">
      <c r="A23" s="8"/>
      <c r="B23" s="8" t="str">
        <f t="shared" si="1"/>
        <v/>
      </c>
      <c r="G23" s="28">
        <f t="shared" si="2"/>
        <v>7</v>
      </c>
      <c r="H23" s="87"/>
    </row>
    <row r="24" spans="1:8" x14ac:dyDescent="0.25">
      <c r="A24" s="8"/>
      <c r="B24" s="8" t="str">
        <f t="shared" si="1"/>
        <v/>
      </c>
      <c r="G24" s="28">
        <f t="shared" si="2"/>
        <v>8</v>
      </c>
      <c r="H24" s="87"/>
    </row>
    <row r="25" spans="1:8" x14ac:dyDescent="0.25">
      <c r="A25" s="8"/>
      <c r="B25" s="8" t="str">
        <f t="shared" si="1"/>
        <v/>
      </c>
      <c r="G25" s="28">
        <f t="shared" si="2"/>
        <v>9</v>
      </c>
      <c r="H25" s="87"/>
    </row>
    <row r="26" spans="1:8" x14ac:dyDescent="0.25">
      <c r="A26" s="8"/>
      <c r="B26" s="8" t="str">
        <f t="shared" si="1"/>
        <v/>
      </c>
      <c r="G26" s="28">
        <f t="shared" si="2"/>
        <v>10</v>
      </c>
      <c r="H26" s="87"/>
    </row>
    <row r="27" spans="1:8" x14ac:dyDescent="0.25">
      <c r="A27" s="8"/>
      <c r="B27" s="8" t="str">
        <f t="shared" si="1"/>
        <v/>
      </c>
      <c r="G27" s="28">
        <f t="shared" si="2"/>
        <v>11</v>
      </c>
      <c r="H27" s="87"/>
    </row>
    <row r="28" spans="1:8" x14ac:dyDescent="0.25">
      <c r="A28" s="8"/>
      <c r="B28" s="8" t="str">
        <f t="shared" si="1"/>
        <v/>
      </c>
      <c r="G28" s="28">
        <f t="shared" si="2"/>
        <v>12</v>
      </c>
      <c r="H28" s="87"/>
    </row>
    <row r="29" spans="1:8" x14ac:dyDescent="0.25">
      <c r="A29" s="8"/>
      <c r="B29" s="8" t="str">
        <f t="shared" si="1"/>
        <v/>
      </c>
      <c r="G29" s="28">
        <f t="shared" si="2"/>
        <v>13</v>
      </c>
      <c r="H29" s="87"/>
    </row>
    <row r="30" spans="1:8" x14ac:dyDescent="0.25">
      <c r="A30" s="8"/>
      <c r="B30" s="8" t="str">
        <f t="shared" si="1"/>
        <v/>
      </c>
      <c r="G30" s="28">
        <f t="shared" si="2"/>
        <v>14</v>
      </c>
      <c r="H30" s="87"/>
    </row>
    <row r="31" spans="1:8" x14ac:dyDescent="0.25">
      <c r="A31" s="8"/>
      <c r="B31" s="8" t="str">
        <f t="shared" si="1"/>
        <v/>
      </c>
      <c r="G31" s="28">
        <f t="shared" si="2"/>
        <v>15</v>
      </c>
      <c r="H31" s="87"/>
    </row>
    <row r="32" spans="1:8" x14ac:dyDescent="0.25">
      <c r="A32" s="8"/>
      <c r="B32" s="8" t="str">
        <f t="shared" si="1"/>
        <v/>
      </c>
      <c r="G32" s="28">
        <f t="shared" si="2"/>
        <v>16</v>
      </c>
      <c r="H32" s="87"/>
    </row>
    <row r="33" spans="1:8" x14ac:dyDescent="0.25">
      <c r="A33" s="8"/>
      <c r="B33" s="8" t="str">
        <f t="shared" si="1"/>
        <v/>
      </c>
      <c r="G33" s="28">
        <f t="shared" si="2"/>
        <v>17</v>
      </c>
      <c r="H33" s="87"/>
    </row>
    <row r="34" spans="1:8" x14ac:dyDescent="0.25">
      <c r="A34" s="8"/>
      <c r="B34" s="8" t="str">
        <f t="shared" si="1"/>
        <v/>
      </c>
      <c r="G34" s="28">
        <f t="shared" ref="G34:G60" si="3">G33+1</f>
        <v>18</v>
      </c>
      <c r="H34" s="87"/>
    </row>
    <row r="35" spans="1:8" x14ac:dyDescent="0.25">
      <c r="A35" s="8"/>
      <c r="B35" s="8" t="str">
        <f t="shared" si="1"/>
        <v/>
      </c>
      <c r="G35" s="28">
        <f t="shared" si="3"/>
        <v>19</v>
      </c>
      <c r="H35" s="87"/>
    </row>
    <row r="36" spans="1:8" x14ac:dyDescent="0.25">
      <c r="A36" s="8"/>
      <c r="B36" s="8" t="str">
        <f t="shared" si="1"/>
        <v/>
      </c>
      <c r="G36" s="28">
        <f t="shared" si="3"/>
        <v>20</v>
      </c>
      <c r="H36" s="87"/>
    </row>
    <row r="37" spans="1:8" x14ac:dyDescent="0.25">
      <c r="A37" s="8"/>
      <c r="B37" s="8" t="str">
        <f t="shared" si="1"/>
        <v/>
      </c>
      <c r="G37" s="28">
        <f t="shared" si="3"/>
        <v>21</v>
      </c>
      <c r="H37" s="87"/>
    </row>
    <row r="38" spans="1:8" x14ac:dyDescent="0.25">
      <c r="A38" s="8"/>
      <c r="B38" s="8" t="str">
        <f t="shared" si="1"/>
        <v/>
      </c>
      <c r="G38" s="28">
        <f t="shared" si="3"/>
        <v>22</v>
      </c>
      <c r="H38" s="87"/>
    </row>
    <row r="39" spans="1:8" x14ac:dyDescent="0.25">
      <c r="A39" s="8"/>
      <c r="B39" s="8" t="str">
        <f t="shared" si="1"/>
        <v/>
      </c>
      <c r="G39" s="28">
        <f t="shared" si="3"/>
        <v>23</v>
      </c>
      <c r="H39" s="87"/>
    </row>
    <row r="40" spans="1:8" x14ac:dyDescent="0.25">
      <c r="A40" s="8"/>
      <c r="B40" s="8" t="str">
        <f t="shared" si="1"/>
        <v/>
      </c>
      <c r="G40" s="28">
        <f t="shared" si="3"/>
        <v>24</v>
      </c>
      <c r="H40" s="87"/>
    </row>
    <row r="41" spans="1:8" x14ac:dyDescent="0.25">
      <c r="A41" s="8"/>
      <c r="B41" s="8" t="str">
        <f t="shared" si="1"/>
        <v/>
      </c>
      <c r="G41" s="28">
        <f t="shared" si="3"/>
        <v>25</v>
      </c>
      <c r="H41" s="87"/>
    </row>
    <row r="42" spans="1:8" x14ac:dyDescent="0.25">
      <c r="A42" s="8"/>
      <c r="B42" s="8" t="str">
        <f t="shared" si="1"/>
        <v/>
      </c>
      <c r="G42" s="28">
        <f t="shared" si="3"/>
        <v>26</v>
      </c>
      <c r="H42" s="87"/>
    </row>
    <row r="43" spans="1:8" x14ac:dyDescent="0.25">
      <c r="A43" s="8"/>
      <c r="B43" s="8" t="str">
        <f t="shared" si="1"/>
        <v/>
      </c>
      <c r="G43" s="28">
        <f t="shared" si="3"/>
        <v>27</v>
      </c>
      <c r="H43" s="87" t="str">
        <f>IFERROR(VLOOKUP(G43,Balance!A:D,4,FALSE),"")</f>
        <v/>
      </c>
    </row>
    <row r="44" spans="1:8" x14ac:dyDescent="0.25">
      <c r="A44" s="8"/>
      <c r="B44" s="8" t="str">
        <f t="shared" si="1"/>
        <v/>
      </c>
      <c r="G44" s="28">
        <f t="shared" si="3"/>
        <v>28</v>
      </c>
      <c r="H44" s="88"/>
    </row>
    <row r="45" spans="1:8" x14ac:dyDescent="0.25">
      <c r="A45" s="8"/>
      <c r="B45" s="8" t="str">
        <f t="shared" si="1"/>
        <v/>
      </c>
      <c r="G45" s="28">
        <f t="shared" si="3"/>
        <v>29</v>
      </c>
      <c r="H45" s="88"/>
    </row>
    <row r="46" spans="1:8" x14ac:dyDescent="0.25">
      <c r="A46" s="8"/>
      <c r="B46" s="8" t="str">
        <f t="shared" si="1"/>
        <v/>
      </c>
      <c r="G46" s="28">
        <f t="shared" si="3"/>
        <v>30</v>
      </c>
      <c r="H46" s="88"/>
    </row>
    <row r="47" spans="1:8" x14ac:dyDescent="0.25">
      <c r="A47" s="8"/>
      <c r="B47" s="8" t="str">
        <f t="shared" si="1"/>
        <v/>
      </c>
      <c r="G47" s="28">
        <f t="shared" si="3"/>
        <v>31</v>
      </c>
      <c r="H47" s="88"/>
    </row>
    <row r="48" spans="1:8" x14ac:dyDescent="0.25">
      <c r="A48" s="8"/>
      <c r="B48" s="8" t="str">
        <f t="shared" si="1"/>
        <v/>
      </c>
      <c r="G48" s="28">
        <f t="shared" si="3"/>
        <v>32</v>
      </c>
      <c r="H48" s="88"/>
    </row>
    <row r="49" spans="1:8" x14ac:dyDescent="0.25">
      <c r="A49" s="8"/>
      <c r="B49" s="8" t="str">
        <f t="shared" si="1"/>
        <v/>
      </c>
      <c r="G49" s="28">
        <f t="shared" si="3"/>
        <v>33</v>
      </c>
      <c r="H49" s="88"/>
    </row>
    <row r="50" spans="1:8" x14ac:dyDescent="0.25">
      <c r="A50" s="8"/>
      <c r="B50" s="8" t="str">
        <f t="shared" si="1"/>
        <v/>
      </c>
      <c r="G50" s="28">
        <f t="shared" si="3"/>
        <v>34</v>
      </c>
      <c r="H50" s="88"/>
    </row>
    <row r="51" spans="1:8" x14ac:dyDescent="0.25">
      <c r="A51" s="8"/>
      <c r="B51" s="8" t="str">
        <f t="shared" si="1"/>
        <v/>
      </c>
      <c r="G51" s="28">
        <f t="shared" si="3"/>
        <v>35</v>
      </c>
      <c r="H51" s="88"/>
    </row>
    <row r="52" spans="1:8" x14ac:dyDescent="0.25">
      <c r="A52" s="8"/>
      <c r="B52" s="8" t="str">
        <f t="shared" si="1"/>
        <v/>
      </c>
      <c r="G52" s="28">
        <f t="shared" si="3"/>
        <v>36</v>
      </c>
      <c r="H52" s="88"/>
    </row>
    <row r="53" spans="1:8" x14ac:dyDescent="0.25">
      <c r="A53" s="8"/>
      <c r="B53" s="8" t="str">
        <f t="shared" si="1"/>
        <v/>
      </c>
      <c r="G53" s="28">
        <f t="shared" si="3"/>
        <v>37</v>
      </c>
      <c r="H53" s="88"/>
    </row>
    <row r="54" spans="1:8" x14ac:dyDescent="0.25">
      <c r="A54" s="8"/>
      <c r="B54" s="8" t="str">
        <f t="shared" si="1"/>
        <v/>
      </c>
      <c r="G54" s="28">
        <f t="shared" si="3"/>
        <v>38</v>
      </c>
      <c r="H54" s="88"/>
    </row>
    <row r="55" spans="1:8" x14ac:dyDescent="0.25">
      <c r="A55" s="8"/>
      <c r="B55" s="8" t="str">
        <f t="shared" si="1"/>
        <v/>
      </c>
      <c r="G55" s="28">
        <f t="shared" si="3"/>
        <v>39</v>
      </c>
      <c r="H55" s="88"/>
    </row>
    <row r="56" spans="1:8" x14ac:dyDescent="0.25">
      <c r="A56" s="8"/>
      <c r="B56" s="8" t="str">
        <f t="shared" si="1"/>
        <v/>
      </c>
      <c r="G56" s="28">
        <f t="shared" si="3"/>
        <v>40</v>
      </c>
      <c r="H56" s="88"/>
    </row>
    <row r="57" spans="1:8" x14ac:dyDescent="0.25">
      <c r="A57" s="8"/>
      <c r="B57" s="8" t="str">
        <f t="shared" si="1"/>
        <v/>
      </c>
      <c r="G57" s="28">
        <f t="shared" si="3"/>
        <v>41</v>
      </c>
      <c r="H57" s="88"/>
    </row>
    <row r="58" spans="1:8" x14ac:dyDescent="0.25">
      <c r="A58" s="8"/>
      <c r="B58" s="8" t="str">
        <f t="shared" si="1"/>
        <v/>
      </c>
      <c r="G58" s="28">
        <f t="shared" si="3"/>
        <v>42</v>
      </c>
      <c r="H58" s="88"/>
    </row>
    <row r="59" spans="1:8" x14ac:dyDescent="0.25">
      <c r="A59" s="8"/>
      <c r="B59" s="8" t="str">
        <f t="shared" si="1"/>
        <v/>
      </c>
      <c r="G59" s="28">
        <f t="shared" si="3"/>
        <v>43</v>
      </c>
      <c r="H59" s="88"/>
    </row>
    <row r="60" spans="1:8" x14ac:dyDescent="0.25">
      <c r="A60" s="8"/>
      <c r="B60" s="8" t="str">
        <f t="shared" si="1"/>
        <v/>
      </c>
      <c r="G60" s="28">
        <f t="shared" si="3"/>
        <v>44</v>
      </c>
      <c r="H60" s="88"/>
    </row>
    <row r="61" spans="1:8" x14ac:dyDescent="0.25">
      <c r="A61" s="8"/>
      <c r="B61" s="8" t="str">
        <f t="shared" si="1"/>
        <v/>
      </c>
    </row>
    <row r="62" spans="1:8" x14ac:dyDescent="0.25">
      <c r="A62" s="8"/>
      <c r="B62" s="8" t="str">
        <f t="shared" si="1"/>
        <v/>
      </c>
    </row>
    <row r="63" spans="1:8" x14ac:dyDescent="0.25">
      <c r="A63" s="8"/>
      <c r="B63" s="8" t="str">
        <f t="shared" si="1"/>
        <v/>
      </c>
    </row>
    <row r="64" spans="1:8" x14ac:dyDescent="0.25">
      <c r="A64" s="8"/>
      <c r="B64" s="8" t="str">
        <f t="shared" si="1"/>
        <v/>
      </c>
    </row>
    <row r="65" spans="1:2" x14ac:dyDescent="0.25">
      <c r="A65" s="8"/>
      <c r="B65" s="8" t="str">
        <f t="shared" si="1"/>
        <v/>
      </c>
    </row>
    <row r="66" spans="1:2" x14ac:dyDescent="0.25">
      <c r="A66" s="8"/>
      <c r="B66" s="8" t="str">
        <f t="shared" si="1"/>
        <v/>
      </c>
    </row>
    <row r="67" spans="1:2" x14ac:dyDescent="0.25">
      <c r="A67" s="8"/>
      <c r="B67" s="8" t="str">
        <f t="shared" si="1"/>
        <v/>
      </c>
    </row>
    <row r="68" spans="1:2" x14ac:dyDescent="0.25">
      <c r="A68" s="8"/>
      <c r="B68" s="8" t="str">
        <f t="shared" ref="B68:B131" si="4">IF(A68=0,"",41824+(ROUNDUP(DAYS360(41824,A68)/7,0)*7))</f>
        <v/>
      </c>
    </row>
    <row r="69" spans="1:2" x14ac:dyDescent="0.25">
      <c r="A69" s="8"/>
      <c r="B69" s="8" t="str">
        <f t="shared" si="4"/>
        <v/>
      </c>
    </row>
    <row r="70" spans="1:2" x14ac:dyDescent="0.25">
      <c r="A70" s="8"/>
      <c r="B70" s="8" t="str">
        <f t="shared" si="4"/>
        <v/>
      </c>
    </row>
    <row r="71" spans="1:2" x14ac:dyDescent="0.25">
      <c r="A71" s="8"/>
      <c r="B71" s="8" t="str">
        <f t="shared" si="4"/>
        <v/>
      </c>
    </row>
    <row r="72" spans="1:2" x14ac:dyDescent="0.25">
      <c r="A72" s="8"/>
      <c r="B72" s="8" t="str">
        <f t="shared" si="4"/>
        <v/>
      </c>
    </row>
    <row r="73" spans="1:2" x14ac:dyDescent="0.25">
      <c r="A73" s="8"/>
      <c r="B73" s="8" t="str">
        <f t="shared" si="4"/>
        <v/>
      </c>
    </row>
    <row r="74" spans="1:2" x14ac:dyDescent="0.25">
      <c r="A74" s="8"/>
      <c r="B74" s="8" t="str">
        <f t="shared" si="4"/>
        <v/>
      </c>
    </row>
    <row r="75" spans="1:2" x14ac:dyDescent="0.25">
      <c r="A75" s="8"/>
      <c r="B75" s="8" t="str">
        <f t="shared" si="4"/>
        <v/>
      </c>
    </row>
    <row r="76" spans="1:2" x14ac:dyDescent="0.25">
      <c r="A76" s="8"/>
      <c r="B76" s="8" t="str">
        <f t="shared" si="4"/>
        <v/>
      </c>
    </row>
    <row r="77" spans="1:2" x14ac:dyDescent="0.25">
      <c r="A77" s="8"/>
      <c r="B77" s="8" t="str">
        <f t="shared" si="4"/>
        <v/>
      </c>
    </row>
    <row r="78" spans="1:2" x14ac:dyDescent="0.25">
      <c r="A78" s="8"/>
      <c r="B78" s="8" t="str">
        <f t="shared" si="4"/>
        <v/>
      </c>
    </row>
    <row r="79" spans="1:2" x14ac:dyDescent="0.25">
      <c r="A79" s="8"/>
      <c r="B79" s="8" t="str">
        <f t="shared" si="4"/>
        <v/>
      </c>
    </row>
    <row r="80" spans="1:2" x14ac:dyDescent="0.25">
      <c r="A80" s="8"/>
      <c r="B80" s="8" t="str">
        <f t="shared" si="4"/>
        <v/>
      </c>
    </row>
    <row r="81" spans="1:2" x14ac:dyDescent="0.25">
      <c r="A81" s="8"/>
      <c r="B81" s="8" t="str">
        <f t="shared" si="4"/>
        <v/>
      </c>
    </row>
    <row r="82" spans="1:2" x14ac:dyDescent="0.25">
      <c r="A82" s="8"/>
      <c r="B82" s="8" t="str">
        <f t="shared" si="4"/>
        <v/>
      </c>
    </row>
    <row r="83" spans="1:2" x14ac:dyDescent="0.25">
      <c r="A83" s="8"/>
      <c r="B83" s="8" t="str">
        <f t="shared" si="4"/>
        <v/>
      </c>
    </row>
    <row r="84" spans="1:2" x14ac:dyDescent="0.25">
      <c r="A84" s="8"/>
      <c r="B84" s="8" t="str">
        <f t="shared" si="4"/>
        <v/>
      </c>
    </row>
    <row r="85" spans="1:2" x14ac:dyDescent="0.25">
      <c r="A85" s="8"/>
      <c r="B85" s="8" t="str">
        <f t="shared" si="4"/>
        <v/>
      </c>
    </row>
    <row r="86" spans="1:2" x14ac:dyDescent="0.25">
      <c r="A86" s="8"/>
      <c r="B86" s="8" t="str">
        <f t="shared" si="4"/>
        <v/>
      </c>
    </row>
    <row r="87" spans="1:2" x14ac:dyDescent="0.25">
      <c r="A87" s="8"/>
      <c r="B87" s="8" t="str">
        <f t="shared" si="4"/>
        <v/>
      </c>
    </row>
    <row r="88" spans="1:2" x14ac:dyDescent="0.25">
      <c r="A88" s="8"/>
      <c r="B88" s="8" t="str">
        <f t="shared" si="4"/>
        <v/>
      </c>
    </row>
    <row r="89" spans="1:2" x14ac:dyDescent="0.25">
      <c r="A89" s="8"/>
      <c r="B89" s="8" t="str">
        <f t="shared" si="4"/>
        <v/>
      </c>
    </row>
    <row r="90" spans="1:2" x14ac:dyDescent="0.25">
      <c r="A90" s="8"/>
      <c r="B90" s="8" t="str">
        <f t="shared" si="4"/>
        <v/>
      </c>
    </row>
    <row r="91" spans="1:2" x14ac:dyDescent="0.25">
      <c r="A91" s="8"/>
      <c r="B91" s="8" t="str">
        <f t="shared" si="4"/>
        <v/>
      </c>
    </row>
    <row r="92" spans="1:2" x14ac:dyDescent="0.25">
      <c r="A92" s="8"/>
      <c r="B92" s="8" t="str">
        <f t="shared" si="4"/>
        <v/>
      </c>
    </row>
    <row r="93" spans="1:2" x14ac:dyDescent="0.25">
      <c r="A93" s="8"/>
      <c r="B93" s="8" t="str">
        <f t="shared" si="4"/>
        <v/>
      </c>
    </row>
    <row r="94" spans="1:2" x14ac:dyDescent="0.25">
      <c r="A94" s="8"/>
      <c r="B94" s="8" t="str">
        <f t="shared" si="4"/>
        <v/>
      </c>
    </row>
    <row r="95" spans="1:2" x14ac:dyDescent="0.25">
      <c r="A95" s="8"/>
      <c r="B95" s="8" t="str">
        <f t="shared" si="4"/>
        <v/>
      </c>
    </row>
    <row r="96" spans="1:2" x14ac:dyDescent="0.25">
      <c r="A96" s="8"/>
      <c r="B96" s="8" t="str">
        <f t="shared" si="4"/>
        <v/>
      </c>
    </row>
    <row r="97" spans="1:2" x14ac:dyDescent="0.25">
      <c r="A97" s="8"/>
      <c r="B97" s="8" t="str">
        <f t="shared" si="4"/>
        <v/>
      </c>
    </row>
    <row r="98" spans="1:2" x14ac:dyDescent="0.25">
      <c r="A98" s="8"/>
      <c r="B98" s="8" t="str">
        <f t="shared" si="4"/>
        <v/>
      </c>
    </row>
    <row r="99" spans="1:2" x14ac:dyDescent="0.25">
      <c r="A99" s="8"/>
      <c r="B99" s="8" t="str">
        <f t="shared" si="4"/>
        <v/>
      </c>
    </row>
    <row r="100" spans="1:2" x14ac:dyDescent="0.25">
      <c r="A100" s="8"/>
      <c r="B100" s="8" t="str">
        <f t="shared" si="4"/>
        <v/>
      </c>
    </row>
    <row r="101" spans="1:2" x14ac:dyDescent="0.25">
      <c r="A101" s="8"/>
      <c r="B101" s="8" t="str">
        <f t="shared" si="4"/>
        <v/>
      </c>
    </row>
    <row r="102" spans="1:2" x14ac:dyDescent="0.25">
      <c r="A102" s="8"/>
      <c r="B102" s="8" t="str">
        <f t="shared" si="4"/>
        <v/>
      </c>
    </row>
    <row r="103" spans="1:2" x14ac:dyDescent="0.25">
      <c r="A103" s="8"/>
      <c r="B103" s="8" t="str">
        <f t="shared" si="4"/>
        <v/>
      </c>
    </row>
    <row r="104" spans="1:2" x14ac:dyDescent="0.25">
      <c r="A104" s="8"/>
      <c r="B104" s="8" t="str">
        <f t="shared" si="4"/>
        <v/>
      </c>
    </row>
    <row r="105" spans="1:2" x14ac:dyDescent="0.25">
      <c r="A105" s="8"/>
      <c r="B105" s="8" t="str">
        <f t="shared" si="4"/>
        <v/>
      </c>
    </row>
    <row r="106" spans="1:2" x14ac:dyDescent="0.25">
      <c r="A106" s="8"/>
      <c r="B106" s="8" t="str">
        <f t="shared" si="4"/>
        <v/>
      </c>
    </row>
    <row r="107" spans="1:2" x14ac:dyDescent="0.25">
      <c r="A107" s="8"/>
      <c r="B107" s="8" t="str">
        <f t="shared" si="4"/>
        <v/>
      </c>
    </row>
    <row r="108" spans="1:2" x14ac:dyDescent="0.25">
      <c r="A108" s="8"/>
      <c r="B108" s="8" t="str">
        <f t="shared" si="4"/>
        <v/>
      </c>
    </row>
    <row r="109" spans="1:2" x14ac:dyDescent="0.25">
      <c r="A109" s="8"/>
      <c r="B109" s="8" t="str">
        <f t="shared" si="4"/>
        <v/>
      </c>
    </row>
    <row r="110" spans="1:2" x14ac:dyDescent="0.25">
      <c r="A110" s="8"/>
      <c r="B110" s="8" t="str">
        <f t="shared" si="4"/>
        <v/>
      </c>
    </row>
    <row r="111" spans="1:2" x14ac:dyDescent="0.25">
      <c r="A111" s="8"/>
      <c r="B111" s="8" t="str">
        <f t="shared" si="4"/>
        <v/>
      </c>
    </row>
    <row r="112" spans="1:2" x14ac:dyDescent="0.25">
      <c r="A112" s="8"/>
      <c r="B112" s="8" t="str">
        <f t="shared" si="4"/>
        <v/>
      </c>
    </row>
    <row r="113" spans="1:2" x14ac:dyDescent="0.25">
      <c r="A113" s="8"/>
      <c r="B113" s="8" t="str">
        <f t="shared" si="4"/>
        <v/>
      </c>
    </row>
    <row r="114" spans="1:2" x14ac:dyDescent="0.25">
      <c r="A114" s="8"/>
      <c r="B114" s="8" t="str">
        <f t="shared" si="4"/>
        <v/>
      </c>
    </row>
    <row r="115" spans="1:2" x14ac:dyDescent="0.25">
      <c r="A115" s="8"/>
      <c r="B115" s="8" t="str">
        <f t="shared" si="4"/>
        <v/>
      </c>
    </row>
    <row r="116" spans="1:2" x14ac:dyDescent="0.25">
      <c r="A116" s="8"/>
      <c r="B116" s="8" t="str">
        <f t="shared" si="4"/>
        <v/>
      </c>
    </row>
    <row r="117" spans="1:2" x14ac:dyDescent="0.25">
      <c r="A117" s="8"/>
      <c r="B117" s="8" t="str">
        <f t="shared" si="4"/>
        <v/>
      </c>
    </row>
    <row r="118" spans="1:2" x14ac:dyDescent="0.25">
      <c r="A118" s="8"/>
      <c r="B118" s="8" t="str">
        <f t="shared" si="4"/>
        <v/>
      </c>
    </row>
    <row r="119" spans="1:2" x14ac:dyDescent="0.25">
      <c r="A119" s="8"/>
      <c r="B119" s="8" t="str">
        <f t="shared" si="4"/>
        <v/>
      </c>
    </row>
    <row r="120" spans="1:2" x14ac:dyDescent="0.25">
      <c r="A120" s="8"/>
      <c r="B120" s="8" t="str">
        <f t="shared" si="4"/>
        <v/>
      </c>
    </row>
    <row r="121" spans="1:2" x14ac:dyDescent="0.25">
      <c r="A121" s="8"/>
      <c r="B121" s="8" t="str">
        <f t="shared" si="4"/>
        <v/>
      </c>
    </row>
    <row r="122" spans="1:2" x14ac:dyDescent="0.25">
      <c r="A122" s="8"/>
      <c r="B122" s="8" t="str">
        <f t="shared" si="4"/>
        <v/>
      </c>
    </row>
    <row r="123" spans="1:2" x14ac:dyDescent="0.25">
      <c r="A123" s="8"/>
      <c r="B123" s="8" t="str">
        <f t="shared" si="4"/>
        <v/>
      </c>
    </row>
    <row r="124" spans="1:2" x14ac:dyDescent="0.25">
      <c r="A124" s="8"/>
      <c r="B124" s="8" t="str">
        <f t="shared" si="4"/>
        <v/>
      </c>
    </row>
    <row r="125" spans="1:2" x14ac:dyDescent="0.25">
      <c r="A125" s="8"/>
      <c r="B125" s="8" t="str">
        <f t="shared" si="4"/>
        <v/>
      </c>
    </row>
    <row r="126" spans="1:2" x14ac:dyDescent="0.25">
      <c r="A126" s="8"/>
      <c r="B126" s="8" t="str">
        <f t="shared" si="4"/>
        <v/>
      </c>
    </row>
    <row r="127" spans="1:2" x14ac:dyDescent="0.25">
      <c r="A127" s="8"/>
      <c r="B127" s="8" t="str">
        <f t="shared" si="4"/>
        <v/>
      </c>
    </row>
    <row r="128" spans="1:2" x14ac:dyDescent="0.25">
      <c r="A128" s="8"/>
      <c r="B128" s="8" t="str">
        <f t="shared" si="4"/>
        <v/>
      </c>
    </row>
    <row r="129" spans="1:2" x14ac:dyDescent="0.25">
      <c r="A129" s="8"/>
      <c r="B129" s="8" t="str">
        <f t="shared" si="4"/>
        <v/>
      </c>
    </row>
    <row r="130" spans="1:2" x14ac:dyDescent="0.25">
      <c r="A130" s="8"/>
      <c r="B130" s="8" t="str">
        <f t="shared" si="4"/>
        <v/>
      </c>
    </row>
    <row r="131" spans="1:2" x14ac:dyDescent="0.25">
      <c r="A131" s="8"/>
      <c r="B131" s="8" t="str">
        <f t="shared" si="4"/>
        <v/>
      </c>
    </row>
    <row r="132" spans="1:2" x14ac:dyDescent="0.25">
      <c r="A132" s="8"/>
      <c r="B132" s="8" t="str">
        <f t="shared" ref="B132:B195" si="5">IF(A132=0,"",41824+(ROUNDUP(DAYS360(41824,A132)/7,0)*7))</f>
        <v/>
      </c>
    </row>
    <row r="133" spans="1:2" x14ac:dyDescent="0.25">
      <c r="A133" s="8"/>
      <c r="B133" s="8" t="str">
        <f t="shared" si="5"/>
        <v/>
      </c>
    </row>
    <row r="134" spans="1:2" x14ac:dyDescent="0.25">
      <c r="A134" s="8"/>
      <c r="B134" s="8" t="str">
        <f t="shared" si="5"/>
        <v/>
      </c>
    </row>
    <row r="135" spans="1:2" x14ac:dyDescent="0.25">
      <c r="A135" s="8"/>
      <c r="B135" s="8" t="str">
        <f t="shared" si="5"/>
        <v/>
      </c>
    </row>
    <row r="136" spans="1:2" x14ac:dyDescent="0.25">
      <c r="A136" s="8"/>
      <c r="B136" s="8" t="str">
        <f t="shared" si="5"/>
        <v/>
      </c>
    </row>
    <row r="137" spans="1:2" x14ac:dyDescent="0.25">
      <c r="A137" s="8"/>
      <c r="B137" s="8" t="str">
        <f t="shared" si="5"/>
        <v/>
      </c>
    </row>
    <row r="138" spans="1:2" x14ac:dyDescent="0.25">
      <c r="A138" s="8"/>
      <c r="B138" s="8" t="str">
        <f t="shared" si="5"/>
        <v/>
      </c>
    </row>
    <row r="139" spans="1:2" x14ac:dyDescent="0.25">
      <c r="A139" s="8"/>
      <c r="B139" s="8" t="str">
        <f t="shared" si="5"/>
        <v/>
      </c>
    </row>
    <row r="140" spans="1:2" x14ac:dyDescent="0.25">
      <c r="A140" s="8"/>
      <c r="B140" s="8" t="str">
        <f t="shared" si="5"/>
        <v/>
      </c>
    </row>
    <row r="141" spans="1:2" x14ac:dyDescent="0.25">
      <c r="A141" s="8"/>
      <c r="B141" s="8" t="str">
        <f t="shared" si="5"/>
        <v/>
      </c>
    </row>
    <row r="142" spans="1:2" x14ac:dyDescent="0.25">
      <c r="A142" s="8"/>
      <c r="B142" s="8" t="str">
        <f t="shared" si="5"/>
        <v/>
      </c>
    </row>
    <row r="143" spans="1:2" x14ac:dyDescent="0.25">
      <c r="A143" s="8"/>
      <c r="B143" s="8" t="str">
        <f t="shared" si="5"/>
        <v/>
      </c>
    </row>
    <row r="144" spans="1:2" x14ac:dyDescent="0.25">
      <c r="A144" s="8"/>
      <c r="B144" s="8" t="str">
        <f t="shared" si="5"/>
        <v/>
      </c>
    </row>
    <row r="145" spans="1:2" x14ac:dyDescent="0.25">
      <c r="A145" s="8"/>
      <c r="B145" s="8" t="str">
        <f t="shared" si="5"/>
        <v/>
      </c>
    </row>
    <row r="146" spans="1:2" x14ac:dyDescent="0.25">
      <c r="A146" s="8"/>
      <c r="B146" s="8" t="str">
        <f t="shared" si="5"/>
        <v/>
      </c>
    </row>
    <row r="147" spans="1:2" x14ac:dyDescent="0.25">
      <c r="A147" s="8"/>
      <c r="B147" s="8" t="str">
        <f t="shared" si="5"/>
        <v/>
      </c>
    </row>
    <row r="148" spans="1:2" x14ac:dyDescent="0.25">
      <c r="A148" s="8"/>
      <c r="B148" s="8" t="str">
        <f t="shared" si="5"/>
        <v/>
      </c>
    </row>
    <row r="149" spans="1:2" x14ac:dyDescent="0.25">
      <c r="A149" s="8"/>
      <c r="B149" s="8" t="str">
        <f t="shared" si="5"/>
        <v/>
      </c>
    </row>
    <row r="150" spans="1:2" x14ac:dyDescent="0.25">
      <c r="A150" s="8"/>
      <c r="B150" s="8" t="str">
        <f t="shared" si="5"/>
        <v/>
      </c>
    </row>
    <row r="151" spans="1:2" x14ac:dyDescent="0.25">
      <c r="A151" s="8"/>
      <c r="B151" s="8" t="str">
        <f t="shared" si="5"/>
        <v/>
      </c>
    </row>
    <row r="152" spans="1:2" x14ac:dyDescent="0.25">
      <c r="A152" s="8"/>
      <c r="B152" s="8" t="str">
        <f t="shared" si="5"/>
        <v/>
      </c>
    </row>
    <row r="153" spans="1:2" x14ac:dyDescent="0.25">
      <c r="A153" s="8"/>
      <c r="B153" s="8" t="str">
        <f t="shared" si="5"/>
        <v/>
      </c>
    </row>
    <row r="154" spans="1:2" x14ac:dyDescent="0.25">
      <c r="A154" s="8"/>
      <c r="B154" s="8" t="str">
        <f t="shared" si="5"/>
        <v/>
      </c>
    </row>
    <row r="155" spans="1:2" x14ac:dyDescent="0.25">
      <c r="A155" s="8"/>
      <c r="B155" s="8" t="str">
        <f t="shared" si="5"/>
        <v/>
      </c>
    </row>
    <row r="156" spans="1:2" x14ac:dyDescent="0.25">
      <c r="A156" s="8"/>
      <c r="B156" s="8" t="str">
        <f t="shared" si="5"/>
        <v/>
      </c>
    </row>
    <row r="157" spans="1:2" x14ac:dyDescent="0.25">
      <c r="A157" s="8"/>
      <c r="B157" s="8" t="str">
        <f t="shared" si="5"/>
        <v/>
      </c>
    </row>
    <row r="158" spans="1:2" x14ac:dyDescent="0.25">
      <c r="A158" s="8"/>
      <c r="B158" s="8" t="str">
        <f t="shared" si="5"/>
        <v/>
      </c>
    </row>
    <row r="159" spans="1:2" x14ac:dyDescent="0.25">
      <c r="A159" s="8"/>
      <c r="B159" s="8" t="str">
        <f t="shared" si="5"/>
        <v/>
      </c>
    </row>
    <row r="160" spans="1:2" x14ac:dyDescent="0.25">
      <c r="A160" s="8"/>
      <c r="B160" s="8" t="str">
        <f t="shared" si="5"/>
        <v/>
      </c>
    </row>
    <row r="161" spans="1:2" x14ac:dyDescent="0.25">
      <c r="A161" s="8"/>
      <c r="B161" s="8" t="str">
        <f t="shared" si="5"/>
        <v/>
      </c>
    </row>
    <row r="162" spans="1:2" x14ac:dyDescent="0.25">
      <c r="A162" s="8"/>
      <c r="B162" s="8" t="str">
        <f t="shared" si="5"/>
        <v/>
      </c>
    </row>
    <row r="163" spans="1:2" x14ac:dyDescent="0.25">
      <c r="A163" s="8"/>
      <c r="B163" s="8" t="str">
        <f t="shared" si="5"/>
        <v/>
      </c>
    </row>
    <row r="164" spans="1:2" x14ac:dyDescent="0.25">
      <c r="A164" s="8"/>
      <c r="B164" s="8" t="str">
        <f t="shared" si="5"/>
        <v/>
      </c>
    </row>
    <row r="165" spans="1:2" x14ac:dyDescent="0.25">
      <c r="A165" s="8"/>
      <c r="B165" s="8" t="str">
        <f t="shared" si="5"/>
        <v/>
      </c>
    </row>
    <row r="166" spans="1:2" x14ac:dyDescent="0.25">
      <c r="A166" s="8"/>
      <c r="B166" s="8" t="str">
        <f t="shared" si="5"/>
        <v/>
      </c>
    </row>
    <row r="167" spans="1:2" x14ac:dyDescent="0.25">
      <c r="A167" s="8"/>
      <c r="B167" s="8" t="str">
        <f t="shared" si="5"/>
        <v/>
      </c>
    </row>
    <row r="168" spans="1:2" x14ac:dyDescent="0.25">
      <c r="A168" s="8"/>
      <c r="B168" s="8" t="str">
        <f t="shared" si="5"/>
        <v/>
      </c>
    </row>
    <row r="169" spans="1:2" x14ac:dyDescent="0.25">
      <c r="A169" s="8"/>
      <c r="B169" s="8" t="str">
        <f t="shared" si="5"/>
        <v/>
      </c>
    </row>
    <row r="170" spans="1:2" x14ac:dyDescent="0.25">
      <c r="A170" s="8"/>
      <c r="B170" s="8" t="str">
        <f t="shared" si="5"/>
        <v/>
      </c>
    </row>
    <row r="171" spans="1:2" x14ac:dyDescent="0.25">
      <c r="A171" s="8"/>
      <c r="B171" s="8" t="str">
        <f t="shared" si="5"/>
        <v/>
      </c>
    </row>
    <row r="172" spans="1:2" x14ac:dyDescent="0.25">
      <c r="A172" s="8"/>
      <c r="B172" s="8" t="str">
        <f t="shared" si="5"/>
        <v/>
      </c>
    </row>
    <row r="173" spans="1:2" x14ac:dyDescent="0.25">
      <c r="A173" s="8"/>
      <c r="B173" s="8" t="str">
        <f t="shared" si="5"/>
        <v/>
      </c>
    </row>
    <row r="174" spans="1:2" x14ac:dyDescent="0.25">
      <c r="A174" s="8"/>
      <c r="B174" s="8" t="str">
        <f t="shared" si="5"/>
        <v/>
      </c>
    </row>
    <row r="175" spans="1:2" x14ac:dyDescent="0.25">
      <c r="A175" s="8"/>
      <c r="B175" s="8" t="str">
        <f t="shared" si="5"/>
        <v/>
      </c>
    </row>
    <row r="176" spans="1:2" x14ac:dyDescent="0.25">
      <c r="A176" s="8"/>
      <c r="B176" s="8" t="str">
        <f t="shared" si="5"/>
        <v/>
      </c>
    </row>
    <row r="177" spans="1:2" x14ac:dyDescent="0.25">
      <c r="A177" s="8"/>
      <c r="B177" s="8" t="str">
        <f t="shared" si="5"/>
        <v/>
      </c>
    </row>
    <row r="178" spans="1:2" x14ac:dyDescent="0.25">
      <c r="A178" s="8"/>
      <c r="B178" s="8" t="str">
        <f t="shared" si="5"/>
        <v/>
      </c>
    </row>
    <row r="179" spans="1:2" x14ac:dyDescent="0.25">
      <c r="A179" s="8"/>
      <c r="B179" s="8" t="str">
        <f t="shared" si="5"/>
        <v/>
      </c>
    </row>
    <row r="180" spans="1:2" x14ac:dyDescent="0.25">
      <c r="A180" s="8"/>
      <c r="B180" s="8" t="str">
        <f t="shared" si="5"/>
        <v/>
      </c>
    </row>
    <row r="181" spans="1:2" x14ac:dyDescent="0.25">
      <c r="A181" s="8"/>
      <c r="B181" s="8" t="str">
        <f t="shared" si="5"/>
        <v/>
      </c>
    </row>
    <row r="182" spans="1:2" x14ac:dyDescent="0.25">
      <c r="A182" s="8"/>
      <c r="B182" s="8" t="str">
        <f t="shared" si="5"/>
        <v/>
      </c>
    </row>
    <row r="183" spans="1:2" x14ac:dyDescent="0.25">
      <c r="A183" s="8"/>
      <c r="B183" s="8" t="str">
        <f t="shared" si="5"/>
        <v/>
      </c>
    </row>
    <row r="184" spans="1:2" x14ac:dyDescent="0.25">
      <c r="A184" s="8"/>
      <c r="B184" s="8" t="str">
        <f t="shared" si="5"/>
        <v/>
      </c>
    </row>
    <row r="185" spans="1:2" x14ac:dyDescent="0.25">
      <c r="A185" s="8"/>
      <c r="B185" s="8" t="str">
        <f t="shared" si="5"/>
        <v/>
      </c>
    </row>
    <row r="186" spans="1:2" x14ac:dyDescent="0.25">
      <c r="A186" s="8"/>
      <c r="B186" s="8" t="str">
        <f t="shared" si="5"/>
        <v/>
      </c>
    </row>
    <row r="187" spans="1:2" x14ac:dyDescent="0.25">
      <c r="A187" s="8"/>
      <c r="B187" s="8" t="str">
        <f t="shared" si="5"/>
        <v/>
      </c>
    </row>
    <row r="188" spans="1:2" x14ac:dyDescent="0.25">
      <c r="A188" s="8"/>
      <c r="B188" s="8" t="str">
        <f t="shared" si="5"/>
        <v/>
      </c>
    </row>
    <row r="189" spans="1:2" x14ac:dyDescent="0.25">
      <c r="A189" s="8"/>
      <c r="B189" s="8" t="str">
        <f t="shared" si="5"/>
        <v/>
      </c>
    </row>
    <row r="190" spans="1:2" x14ac:dyDescent="0.25">
      <c r="A190" s="8"/>
      <c r="B190" s="8" t="str">
        <f t="shared" si="5"/>
        <v/>
      </c>
    </row>
    <row r="191" spans="1:2" x14ac:dyDescent="0.25">
      <c r="A191" s="8"/>
      <c r="B191" s="8" t="str">
        <f t="shared" si="5"/>
        <v/>
      </c>
    </row>
    <row r="192" spans="1:2" x14ac:dyDescent="0.25">
      <c r="A192" s="8"/>
      <c r="B192" s="8" t="str">
        <f t="shared" si="5"/>
        <v/>
      </c>
    </row>
    <row r="193" spans="1:2" x14ac:dyDescent="0.25">
      <c r="A193" s="8"/>
      <c r="B193" s="8" t="str">
        <f t="shared" si="5"/>
        <v/>
      </c>
    </row>
    <row r="194" spans="1:2" x14ac:dyDescent="0.25">
      <c r="A194" s="8"/>
      <c r="B194" s="8" t="str">
        <f t="shared" si="5"/>
        <v/>
      </c>
    </row>
    <row r="195" spans="1:2" x14ac:dyDescent="0.25">
      <c r="A195" s="8"/>
      <c r="B195" s="8" t="str">
        <f t="shared" si="5"/>
        <v/>
      </c>
    </row>
    <row r="196" spans="1:2" x14ac:dyDescent="0.25">
      <c r="A196" s="8"/>
      <c r="B196" s="8" t="str">
        <f t="shared" ref="B196:B259" si="6">IF(A196=0,"",41824+(ROUNDUP(DAYS360(41824,A196)/7,0)*7))</f>
        <v/>
      </c>
    </row>
    <row r="197" spans="1:2" x14ac:dyDescent="0.25">
      <c r="A197" s="8"/>
      <c r="B197" s="8" t="str">
        <f t="shared" si="6"/>
        <v/>
      </c>
    </row>
    <row r="198" spans="1:2" x14ac:dyDescent="0.25">
      <c r="A198" s="8"/>
      <c r="B198" s="8" t="str">
        <f t="shared" si="6"/>
        <v/>
      </c>
    </row>
    <row r="199" spans="1:2" x14ac:dyDescent="0.25">
      <c r="A199" s="8"/>
      <c r="B199" s="8" t="str">
        <f t="shared" si="6"/>
        <v/>
      </c>
    </row>
    <row r="200" spans="1:2" x14ac:dyDescent="0.25">
      <c r="A200" s="8"/>
      <c r="B200" s="8" t="str">
        <f t="shared" si="6"/>
        <v/>
      </c>
    </row>
    <row r="201" spans="1:2" x14ac:dyDescent="0.25">
      <c r="A201" s="8"/>
      <c r="B201" s="8" t="str">
        <f t="shared" si="6"/>
        <v/>
      </c>
    </row>
    <row r="202" spans="1:2" x14ac:dyDescent="0.25">
      <c r="A202" s="8"/>
      <c r="B202" s="8" t="str">
        <f t="shared" si="6"/>
        <v/>
      </c>
    </row>
    <row r="203" spans="1:2" x14ac:dyDescent="0.25">
      <c r="A203" s="8"/>
      <c r="B203" s="8" t="str">
        <f t="shared" si="6"/>
        <v/>
      </c>
    </row>
    <row r="204" spans="1:2" x14ac:dyDescent="0.25">
      <c r="A204" s="8"/>
      <c r="B204" s="8" t="str">
        <f t="shared" si="6"/>
        <v/>
      </c>
    </row>
    <row r="205" spans="1:2" x14ac:dyDescent="0.25">
      <c r="A205" s="8"/>
      <c r="B205" s="8" t="str">
        <f t="shared" si="6"/>
        <v/>
      </c>
    </row>
    <row r="206" spans="1:2" x14ac:dyDescent="0.25">
      <c r="A206" s="8"/>
      <c r="B206" s="8" t="str">
        <f t="shared" si="6"/>
        <v/>
      </c>
    </row>
    <row r="207" spans="1:2" x14ac:dyDescent="0.25">
      <c r="A207" s="8"/>
      <c r="B207" s="8" t="str">
        <f t="shared" si="6"/>
        <v/>
      </c>
    </row>
    <row r="208" spans="1:2" x14ac:dyDescent="0.25">
      <c r="A208" s="8"/>
      <c r="B208" s="8" t="str">
        <f t="shared" si="6"/>
        <v/>
      </c>
    </row>
    <row r="209" spans="1:2" x14ac:dyDescent="0.25">
      <c r="A209" s="8"/>
      <c r="B209" s="8" t="str">
        <f t="shared" si="6"/>
        <v/>
      </c>
    </row>
    <row r="210" spans="1:2" x14ac:dyDescent="0.25">
      <c r="A210" s="8"/>
      <c r="B210" s="8" t="str">
        <f t="shared" si="6"/>
        <v/>
      </c>
    </row>
    <row r="211" spans="1:2" x14ac:dyDescent="0.25">
      <c r="A211" s="8"/>
      <c r="B211" s="8" t="str">
        <f t="shared" si="6"/>
        <v/>
      </c>
    </row>
    <row r="212" spans="1:2" x14ac:dyDescent="0.25">
      <c r="A212" s="8"/>
      <c r="B212" s="8" t="str">
        <f t="shared" si="6"/>
        <v/>
      </c>
    </row>
    <row r="213" spans="1:2" x14ac:dyDescent="0.25">
      <c r="A213" s="8"/>
      <c r="B213" s="8" t="str">
        <f t="shared" si="6"/>
        <v/>
      </c>
    </row>
    <row r="214" spans="1:2" x14ac:dyDescent="0.25">
      <c r="A214" s="8"/>
      <c r="B214" s="8" t="str">
        <f t="shared" si="6"/>
        <v/>
      </c>
    </row>
    <row r="215" spans="1:2" x14ac:dyDescent="0.25">
      <c r="A215" s="8"/>
      <c r="B215" s="8" t="str">
        <f t="shared" si="6"/>
        <v/>
      </c>
    </row>
    <row r="216" spans="1:2" x14ac:dyDescent="0.25">
      <c r="A216" s="8"/>
      <c r="B216" s="8" t="str">
        <f t="shared" si="6"/>
        <v/>
      </c>
    </row>
    <row r="217" spans="1:2" x14ac:dyDescent="0.25">
      <c r="A217" s="8"/>
      <c r="B217" s="8" t="str">
        <f t="shared" si="6"/>
        <v/>
      </c>
    </row>
    <row r="218" spans="1:2" x14ac:dyDescent="0.25">
      <c r="A218" s="8"/>
      <c r="B218" s="8" t="str">
        <f t="shared" si="6"/>
        <v/>
      </c>
    </row>
    <row r="219" spans="1:2" x14ac:dyDescent="0.25">
      <c r="A219" s="8"/>
      <c r="B219" s="8" t="str">
        <f t="shared" si="6"/>
        <v/>
      </c>
    </row>
    <row r="220" spans="1:2" x14ac:dyDescent="0.25">
      <c r="A220" s="8"/>
      <c r="B220" s="8" t="str">
        <f t="shared" si="6"/>
        <v/>
      </c>
    </row>
    <row r="221" spans="1:2" x14ac:dyDescent="0.25">
      <c r="A221" s="8"/>
      <c r="B221" s="8" t="str">
        <f t="shared" si="6"/>
        <v/>
      </c>
    </row>
    <row r="222" spans="1:2" x14ac:dyDescent="0.25">
      <c r="A222" s="8"/>
      <c r="B222" s="8" t="str">
        <f t="shared" si="6"/>
        <v/>
      </c>
    </row>
    <row r="223" spans="1:2" x14ac:dyDescent="0.25">
      <c r="A223" s="8"/>
      <c r="B223" s="8" t="str">
        <f t="shared" si="6"/>
        <v/>
      </c>
    </row>
    <row r="224" spans="1:2" x14ac:dyDescent="0.25">
      <c r="A224" s="8"/>
      <c r="B224" s="8" t="str">
        <f t="shared" si="6"/>
        <v/>
      </c>
    </row>
    <row r="225" spans="1:2" x14ac:dyDescent="0.25">
      <c r="A225" s="8"/>
      <c r="B225" s="8" t="str">
        <f t="shared" si="6"/>
        <v/>
      </c>
    </row>
    <row r="226" spans="1:2" x14ac:dyDescent="0.25">
      <c r="A226" s="8"/>
      <c r="B226" s="8" t="str">
        <f t="shared" si="6"/>
        <v/>
      </c>
    </row>
    <row r="227" spans="1:2" x14ac:dyDescent="0.25">
      <c r="A227" s="8"/>
      <c r="B227" s="8" t="str">
        <f t="shared" si="6"/>
        <v/>
      </c>
    </row>
    <row r="228" spans="1:2" x14ac:dyDescent="0.25">
      <c r="A228" s="8"/>
      <c r="B228" s="8" t="str">
        <f t="shared" si="6"/>
        <v/>
      </c>
    </row>
    <row r="229" spans="1:2" x14ac:dyDescent="0.25">
      <c r="A229" s="8"/>
      <c r="B229" s="8" t="str">
        <f t="shared" si="6"/>
        <v/>
      </c>
    </row>
    <row r="230" spans="1:2" x14ac:dyDescent="0.25">
      <c r="A230" s="8"/>
      <c r="B230" s="8" t="str">
        <f t="shared" si="6"/>
        <v/>
      </c>
    </row>
    <row r="231" spans="1:2" x14ac:dyDescent="0.25">
      <c r="A231" s="8"/>
      <c r="B231" s="8" t="str">
        <f t="shared" si="6"/>
        <v/>
      </c>
    </row>
    <row r="232" spans="1:2" x14ac:dyDescent="0.25">
      <c r="A232" s="8"/>
      <c r="B232" s="8" t="str">
        <f t="shared" si="6"/>
        <v/>
      </c>
    </row>
    <row r="233" spans="1:2" x14ac:dyDescent="0.25">
      <c r="A233" s="8"/>
      <c r="B233" s="8" t="str">
        <f t="shared" si="6"/>
        <v/>
      </c>
    </row>
    <row r="234" spans="1:2" x14ac:dyDescent="0.25">
      <c r="A234" s="8"/>
      <c r="B234" s="8" t="str">
        <f t="shared" si="6"/>
        <v/>
      </c>
    </row>
    <row r="235" spans="1:2" x14ac:dyDescent="0.25">
      <c r="A235" s="8"/>
      <c r="B235" s="8" t="str">
        <f t="shared" si="6"/>
        <v/>
      </c>
    </row>
    <row r="236" spans="1:2" x14ac:dyDescent="0.25">
      <c r="A236" s="8"/>
      <c r="B236" s="8" t="str">
        <f t="shared" si="6"/>
        <v/>
      </c>
    </row>
    <row r="237" spans="1:2" x14ac:dyDescent="0.25">
      <c r="A237" s="8"/>
      <c r="B237" s="8" t="str">
        <f t="shared" si="6"/>
        <v/>
      </c>
    </row>
    <row r="238" spans="1:2" x14ac:dyDescent="0.25">
      <c r="A238" s="8"/>
      <c r="B238" s="8" t="str">
        <f t="shared" si="6"/>
        <v/>
      </c>
    </row>
    <row r="239" spans="1:2" x14ac:dyDescent="0.25">
      <c r="A239" s="8"/>
      <c r="B239" s="8" t="str">
        <f t="shared" si="6"/>
        <v/>
      </c>
    </row>
    <row r="240" spans="1:2" x14ac:dyDescent="0.25">
      <c r="A240" s="8"/>
      <c r="B240" s="8" t="str">
        <f t="shared" si="6"/>
        <v/>
      </c>
    </row>
    <row r="241" spans="1:2" x14ac:dyDescent="0.25">
      <c r="A241" s="8"/>
      <c r="B241" s="8" t="str">
        <f t="shared" si="6"/>
        <v/>
      </c>
    </row>
    <row r="242" spans="1:2" x14ac:dyDescent="0.25">
      <c r="A242" s="8"/>
      <c r="B242" s="8" t="str">
        <f t="shared" si="6"/>
        <v/>
      </c>
    </row>
    <row r="243" spans="1:2" x14ac:dyDescent="0.25">
      <c r="A243" s="8"/>
      <c r="B243" s="8" t="str">
        <f t="shared" si="6"/>
        <v/>
      </c>
    </row>
    <row r="244" spans="1:2" x14ac:dyDescent="0.25">
      <c r="A244" s="8"/>
      <c r="B244" s="8" t="str">
        <f t="shared" si="6"/>
        <v/>
      </c>
    </row>
    <row r="245" spans="1:2" x14ac:dyDescent="0.25">
      <c r="A245" s="8"/>
      <c r="B245" s="8" t="str">
        <f t="shared" si="6"/>
        <v/>
      </c>
    </row>
    <row r="246" spans="1:2" x14ac:dyDescent="0.25">
      <c r="A246" s="8"/>
      <c r="B246" s="8" t="str">
        <f t="shared" si="6"/>
        <v/>
      </c>
    </row>
    <row r="247" spans="1:2" x14ac:dyDescent="0.25">
      <c r="A247" s="8"/>
      <c r="B247" s="8" t="str">
        <f t="shared" si="6"/>
        <v/>
      </c>
    </row>
    <row r="248" spans="1:2" x14ac:dyDescent="0.25">
      <c r="A248" s="8"/>
      <c r="B248" s="8" t="str">
        <f t="shared" si="6"/>
        <v/>
      </c>
    </row>
    <row r="249" spans="1:2" x14ac:dyDescent="0.25">
      <c r="A249" s="8"/>
      <c r="B249" s="8" t="str">
        <f t="shared" si="6"/>
        <v/>
      </c>
    </row>
    <row r="250" spans="1:2" x14ac:dyDescent="0.25">
      <c r="A250" s="8"/>
      <c r="B250" s="8" t="str">
        <f t="shared" si="6"/>
        <v/>
      </c>
    </row>
    <row r="251" spans="1:2" x14ac:dyDescent="0.25">
      <c r="A251" s="8"/>
      <c r="B251" s="8" t="str">
        <f t="shared" si="6"/>
        <v/>
      </c>
    </row>
    <row r="252" spans="1:2" x14ac:dyDescent="0.25">
      <c r="A252" s="8"/>
      <c r="B252" s="8" t="str">
        <f t="shared" si="6"/>
        <v/>
      </c>
    </row>
    <row r="253" spans="1:2" x14ac:dyDescent="0.25">
      <c r="A253" s="8"/>
      <c r="B253" s="8" t="str">
        <f t="shared" si="6"/>
        <v/>
      </c>
    </row>
    <row r="254" spans="1:2" x14ac:dyDescent="0.25">
      <c r="A254" s="8"/>
      <c r="B254" s="8" t="str">
        <f t="shared" si="6"/>
        <v/>
      </c>
    </row>
    <row r="255" spans="1:2" x14ac:dyDescent="0.25">
      <c r="A255" s="8"/>
      <c r="B255" s="8" t="str">
        <f t="shared" si="6"/>
        <v/>
      </c>
    </row>
    <row r="256" spans="1:2" x14ac:dyDescent="0.25">
      <c r="A256" s="8"/>
      <c r="B256" s="8" t="str">
        <f t="shared" si="6"/>
        <v/>
      </c>
    </row>
    <row r="257" spans="1:2" x14ac:dyDescent="0.25">
      <c r="A257" s="8"/>
      <c r="B257" s="8" t="str">
        <f t="shared" si="6"/>
        <v/>
      </c>
    </row>
    <row r="258" spans="1:2" x14ac:dyDescent="0.25">
      <c r="A258" s="8"/>
      <c r="B258" s="8" t="str">
        <f t="shared" si="6"/>
        <v/>
      </c>
    </row>
    <row r="259" spans="1:2" x14ac:dyDescent="0.25">
      <c r="A259" s="8"/>
      <c r="B259" s="8" t="str">
        <f t="shared" si="6"/>
        <v/>
      </c>
    </row>
    <row r="260" spans="1:2" x14ac:dyDescent="0.25">
      <c r="A260" s="8"/>
      <c r="B260" s="8" t="str">
        <f t="shared" ref="B260:B323" si="7">IF(A260=0,"",41824+(ROUNDUP(DAYS360(41824,A260)/7,0)*7))</f>
        <v/>
      </c>
    </row>
    <row r="261" spans="1:2" x14ac:dyDescent="0.25">
      <c r="A261" s="8"/>
      <c r="B261" s="8" t="str">
        <f t="shared" si="7"/>
        <v/>
      </c>
    </row>
    <row r="262" spans="1:2" x14ac:dyDescent="0.25">
      <c r="A262" s="8"/>
      <c r="B262" s="8" t="str">
        <f t="shared" si="7"/>
        <v/>
      </c>
    </row>
    <row r="263" spans="1:2" x14ac:dyDescent="0.25">
      <c r="A263" s="8"/>
      <c r="B263" s="8" t="str">
        <f t="shared" si="7"/>
        <v/>
      </c>
    </row>
    <row r="264" spans="1:2" x14ac:dyDescent="0.25">
      <c r="A264" s="8"/>
      <c r="B264" s="8" t="str">
        <f t="shared" si="7"/>
        <v/>
      </c>
    </row>
    <row r="265" spans="1:2" x14ac:dyDescent="0.25">
      <c r="A265" s="8"/>
      <c r="B265" s="8" t="str">
        <f t="shared" si="7"/>
        <v/>
      </c>
    </row>
    <row r="266" spans="1:2" x14ac:dyDescent="0.25">
      <c r="A266" s="8"/>
      <c r="B266" s="8" t="str">
        <f t="shared" si="7"/>
        <v/>
      </c>
    </row>
    <row r="267" spans="1:2" x14ac:dyDescent="0.25">
      <c r="A267" s="8"/>
      <c r="B267" s="8" t="str">
        <f t="shared" si="7"/>
        <v/>
      </c>
    </row>
    <row r="268" spans="1:2" x14ac:dyDescent="0.25">
      <c r="A268" s="8"/>
      <c r="B268" s="8" t="str">
        <f t="shared" si="7"/>
        <v/>
      </c>
    </row>
    <row r="269" spans="1:2" x14ac:dyDescent="0.25">
      <c r="A269" s="8"/>
      <c r="B269" s="8" t="str">
        <f t="shared" si="7"/>
        <v/>
      </c>
    </row>
    <row r="270" spans="1:2" x14ac:dyDescent="0.25">
      <c r="A270" s="8"/>
      <c r="B270" s="8" t="str">
        <f t="shared" si="7"/>
        <v/>
      </c>
    </row>
    <row r="271" spans="1:2" x14ac:dyDescent="0.25">
      <c r="A271" s="8"/>
      <c r="B271" s="8" t="str">
        <f t="shared" si="7"/>
        <v/>
      </c>
    </row>
    <row r="272" spans="1:2" x14ac:dyDescent="0.25">
      <c r="A272" s="8"/>
      <c r="B272" s="8" t="str">
        <f t="shared" si="7"/>
        <v/>
      </c>
    </row>
    <row r="273" spans="1:2" x14ac:dyDescent="0.25">
      <c r="A273" s="8"/>
      <c r="B273" s="8" t="str">
        <f t="shared" si="7"/>
        <v/>
      </c>
    </row>
    <row r="274" spans="1:2" x14ac:dyDescent="0.25">
      <c r="A274" s="8"/>
      <c r="B274" s="8" t="str">
        <f t="shared" si="7"/>
        <v/>
      </c>
    </row>
    <row r="275" spans="1:2" x14ac:dyDescent="0.25">
      <c r="A275" s="8"/>
      <c r="B275" s="8" t="str">
        <f t="shared" si="7"/>
        <v/>
      </c>
    </row>
    <row r="276" spans="1:2" x14ac:dyDescent="0.25">
      <c r="A276" s="8"/>
      <c r="B276" s="8" t="str">
        <f t="shared" si="7"/>
        <v/>
      </c>
    </row>
    <row r="277" spans="1:2" x14ac:dyDescent="0.25">
      <c r="A277" s="8"/>
      <c r="B277" s="8" t="str">
        <f t="shared" si="7"/>
        <v/>
      </c>
    </row>
    <row r="278" spans="1:2" x14ac:dyDescent="0.25">
      <c r="A278" s="8"/>
      <c r="B278" s="8" t="str">
        <f t="shared" si="7"/>
        <v/>
      </c>
    </row>
    <row r="279" spans="1:2" x14ac:dyDescent="0.25">
      <c r="A279" s="8"/>
      <c r="B279" s="8" t="str">
        <f t="shared" si="7"/>
        <v/>
      </c>
    </row>
    <row r="280" spans="1:2" x14ac:dyDescent="0.25">
      <c r="A280" s="8"/>
      <c r="B280" s="8" t="str">
        <f t="shared" si="7"/>
        <v/>
      </c>
    </row>
    <row r="281" spans="1:2" x14ac:dyDescent="0.25">
      <c r="A281" s="8"/>
      <c r="B281" s="8" t="str">
        <f t="shared" si="7"/>
        <v/>
      </c>
    </row>
    <row r="282" spans="1:2" x14ac:dyDescent="0.25">
      <c r="A282" s="8"/>
      <c r="B282" s="8" t="str">
        <f t="shared" si="7"/>
        <v/>
      </c>
    </row>
    <row r="283" spans="1:2" x14ac:dyDescent="0.25">
      <c r="A283" s="8"/>
      <c r="B283" s="8" t="str">
        <f t="shared" si="7"/>
        <v/>
      </c>
    </row>
    <row r="284" spans="1:2" x14ac:dyDescent="0.25">
      <c r="A284" s="8"/>
      <c r="B284" s="8" t="str">
        <f t="shared" si="7"/>
        <v/>
      </c>
    </row>
    <row r="285" spans="1:2" x14ac:dyDescent="0.25">
      <c r="A285" s="8"/>
      <c r="B285" s="8" t="str">
        <f t="shared" si="7"/>
        <v/>
      </c>
    </row>
    <row r="286" spans="1:2" x14ac:dyDescent="0.25">
      <c r="A286" s="8"/>
      <c r="B286" s="8" t="str">
        <f t="shared" si="7"/>
        <v/>
      </c>
    </row>
    <row r="287" spans="1:2" x14ac:dyDescent="0.25">
      <c r="A287" s="8"/>
      <c r="B287" s="8" t="str">
        <f t="shared" si="7"/>
        <v/>
      </c>
    </row>
    <row r="288" spans="1:2" x14ac:dyDescent="0.25">
      <c r="A288" s="8"/>
      <c r="B288" s="8" t="str">
        <f t="shared" si="7"/>
        <v/>
      </c>
    </row>
    <row r="289" spans="1:2" x14ac:dyDescent="0.25">
      <c r="A289" s="8"/>
      <c r="B289" s="8" t="str">
        <f t="shared" si="7"/>
        <v/>
      </c>
    </row>
    <row r="290" spans="1:2" x14ac:dyDescent="0.25">
      <c r="A290" s="8"/>
      <c r="B290" s="8" t="str">
        <f t="shared" si="7"/>
        <v/>
      </c>
    </row>
    <row r="291" spans="1:2" x14ac:dyDescent="0.25">
      <c r="A291" s="8"/>
      <c r="B291" s="8" t="str">
        <f t="shared" si="7"/>
        <v/>
      </c>
    </row>
    <row r="292" spans="1:2" x14ac:dyDescent="0.25">
      <c r="A292" s="8"/>
      <c r="B292" s="8" t="str">
        <f t="shared" si="7"/>
        <v/>
      </c>
    </row>
    <row r="293" spans="1:2" x14ac:dyDescent="0.25">
      <c r="A293" s="8"/>
      <c r="B293" s="8" t="str">
        <f t="shared" si="7"/>
        <v/>
      </c>
    </row>
    <row r="294" spans="1:2" x14ac:dyDescent="0.25">
      <c r="A294" s="8"/>
      <c r="B294" s="8" t="str">
        <f t="shared" si="7"/>
        <v/>
      </c>
    </row>
    <row r="295" spans="1:2" x14ac:dyDescent="0.25">
      <c r="A295" s="8"/>
      <c r="B295" s="8" t="str">
        <f t="shared" si="7"/>
        <v/>
      </c>
    </row>
    <row r="296" spans="1:2" x14ac:dyDescent="0.25">
      <c r="A296" s="8"/>
      <c r="B296" s="8" t="str">
        <f t="shared" si="7"/>
        <v/>
      </c>
    </row>
    <row r="297" spans="1:2" x14ac:dyDescent="0.25">
      <c r="A297" s="8"/>
      <c r="B297" s="8" t="str">
        <f t="shared" si="7"/>
        <v/>
      </c>
    </row>
    <row r="298" spans="1:2" x14ac:dyDescent="0.25">
      <c r="A298" s="8"/>
      <c r="B298" s="8" t="str">
        <f t="shared" si="7"/>
        <v/>
      </c>
    </row>
    <row r="299" spans="1:2" x14ac:dyDescent="0.25">
      <c r="A299" s="8"/>
      <c r="B299" s="8" t="str">
        <f t="shared" si="7"/>
        <v/>
      </c>
    </row>
    <row r="300" spans="1:2" x14ac:dyDescent="0.25">
      <c r="A300" s="8"/>
      <c r="B300" s="8" t="str">
        <f t="shared" si="7"/>
        <v/>
      </c>
    </row>
    <row r="301" spans="1:2" x14ac:dyDescent="0.25">
      <c r="A301" s="8"/>
      <c r="B301" s="8" t="str">
        <f t="shared" si="7"/>
        <v/>
      </c>
    </row>
    <row r="302" spans="1:2" x14ac:dyDescent="0.25">
      <c r="A302" s="8"/>
      <c r="B302" s="8" t="str">
        <f t="shared" si="7"/>
        <v/>
      </c>
    </row>
    <row r="303" spans="1:2" x14ac:dyDescent="0.25">
      <c r="A303" s="8"/>
      <c r="B303" s="8" t="str">
        <f t="shared" si="7"/>
        <v/>
      </c>
    </row>
    <row r="304" spans="1:2" x14ac:dyDescent="0.25">
      <c r="A304" s="8"/>
      <c r="B304" s="8" t="str">
        <f t="shared" si="7"/>
        <v/>
      </c>
    </row>
    <row r="305" spans="1:2" x14ac:dyDescent="0.25">
      <c r="A305" s="8"/>
      <c r="B305" s="8" t="str">
        <f t="shared" si="7"/>
        <v/>
      </c>
    </row>
    <row r="306" spans="1:2" x14ac:dyDescent="0.25">
      <c r="A306" s="8"/>
      <c r="B306" s="8" t="str">
        <f t="shared" si="7"/>
        <v/>
      </c>
    </row>
    <row r="307" spans="1:2" x14ac:dyDescent="0.25">
      <c r="A307" s="8"/>
      <c r="B307" s="8" t="str">
        <f t="shared" si="7"/>
        <v/>
      </c>
    </row>
    <row r="308" spans="1:2" x14ac:dyDescent="0.25">
      <c r="A308" s="8"/>
      <c r="B308" s="8" t="str">
        <f t="shared" si="7"/>
        <v/>
      </c>
    </row>
    <row r="309" spans="1:2" x14ac:dyDescent="0.25">
      <c r="A309" s="8"/>
      <c r="B309" s="8" t="str">
        <f t="shared" si="7"/>
        <v/>
      </c>
    </row>
    <row r="310" spans="1:2" x14ac:dyDescent="0.25">
      <c r="A310" s="8"/>
      <c r="B310" s="8" t="str">
        <f t="shared" si="7"/>
        <v/>
      </c>
    </row>
    <row r="311" spans="1:2" x14ac:dyDescent="0.25">
      <c r="A311" s="8"/>
      <c r="B311" s="8" t="str">
        <f t="shared" si="7"/>
        <v/>
      </c>
    </row>
    <row r="312" spans="1:2" x14ac:dyDescent="0.25">
      <c r="A312" s="8"/>
      <c r="B312" s="8" t="str">
        <f t="shared" si="7"/>
        <v/>
      </c>
    </row>
    <row r="313" spans="1:2" x14ac:dyDescent="0.25">
      <c r="A313" s="8"/>
      <c r="B313" s="8" t="str">
        <f t="shared" si="7"/>
        <v/>
      </c>
    </row>
    <row r="314" spans="1:2" x14ac:dyDescent="0.25">
      <c r="A314" s="8"/>
      <c r="B314" s="8" t="str">
        <f t="shared" si="7"/>
        <v/>
      </c>
    </row>
    <row r="315" spans="1:2" x14ac:dyDescent="0.25">
      <c r="A315" s="8"/>
      <c r="B315" s="8" t="str">
        <f t="shared" si="7"/>
        <v/>
      </c>
    </row>
    <row r="316" spans="1:2" x14ac:dyDescent="0.25">
      <c r="A316" s="8"/>
      <c r="B316" s="8" t="str">
        <f t="shared" si="7"/>
        <v/>
      </c>
    </row>
    <row r="317" spans="1:2" x14ac:dyDescent="0.25">
      <c r="A317" s="8"/>
      <c r="B317" s="8" t="str">
        <f t="shared" si="7"/>
        <v/>
      </c>
    </row>
    <row r="318" spans="1:2" x14ac:dyDescent="0.25">
      <c r="A318" s="8"/>
      <c r="B318" s="8" t="str">
        <f t="shared" si="7"/>
        <v/>
      </c>
    </row>
    <row r="319" spans="1:2" x14ac:dyDescent="0.25">
      <c r="A319" s="8"/>
      <c r="B319" s="8" t="str">
        <f t="shared" si="7"/>
        <v/>
      </c>
    </row>
    <row r="320" spans="1:2" x14ac:dyDescent="0.25">
      <c r="A320" s="8"/>
      <c r="B320" s="8" t="str">
        <f t="shared" si="7"/>
        <v/>
      </c>
    </row>
    <row r="321" spans="1:2" x14ac:dyDescent="0.25">
      <c r="A321" s="8"/>
      <c r="B321" s="8" t="str">
        <f t="shared" si="7"/>
        <v/>
      </c>
    </row>
    <row r="322" spans="1:2" x14ac:dyDescent="0.25">
      <c r="A322" s="8"/>
      <c r="B322" s="8" t="str">
        <f t="shared" si="7"/>
        <v/>
      </c>
    </row>
    <row r="323" spans="1:2" x14ac:dyDescent="0.25">
      <c r="A323" s="8"/>
      <c r="B323" s="8" t="str">
        <f t="shared" si="7"/>
        <v/>
      </c>
    </row>
    <row r="324" spans="1:2" x14ac:dyDescent="0.25">
      <c r="A324" s="8"/>
      <c r="B324" s="8" t="str">
        <f t="shared" ref="B324:B387" si="8">IF(A324=0,"",41824+(ROUNDUP(DAYS360(41824,A324)/7,0)*7))</f>
        <v/>
      </c>
    </row>
    <row r="325" spans="1:2" x14ac:dyDescent="0.25">
      <c r="A325" s="8"/>
      <c r="B325" s="8" t="str">
        <f t="shared" si="8"/>
        <v/>
      </c>
    </row>
    <row r="326" spans="1:2" x14ac:dyDescent="0.25">
      <c r="A326" s="8"/>
      <c r="B326" s="8" t="str">
        <f t="shared" si="8"/>
        <v/>
      </c>
    </row>
    <row r="327" spans="1:2" x14ac:dyDescent="0.25">
      <c r="A327" s="8"/>
      <c r="B327" s="8" t="str">
        <f t="shared" si="8"/>
        <v/>
      </c>
    </row>
    <row r="328" spans="1:2" x14ac:dyDescent="0.25">
      <c r="A328" s="8"/>
      <c r="B328" s="8" t="str">
        <f t="shared" si="8"/>
        <v/>
      </c>
    </row>
    <row r="329" spans="1:2" x14ac:dyDescent="0.25">
      <c r="A329" s="8"/>
      <c r="B329" s="8" t="str">
        <f t="shared" si="8"/>
        <v/>
      </c>
    </row>
    <row r="330" spans="1:2" x14ac:dyDescent="0.25">
      <c r="A330" s="8"/>
      <c r="B330" s="8" t="str">
        <f t="shared" si="8"/>
        <v/>
      </c>
    </row>
    <row r="331" spans="1:2" x14ac:dyDescent="0.25">
      <c r="A331" s="8"/>
      <c r="B331" s="8" t="str">
        <f t="shared" si="8"/>
        <v/>
      </c>
    </row>
    <row r="332" spans="1:2" x14ac:dyDescent="0.25">
      <c r="A332" s="8"/>
      <c r="B332" s="8" t="str">
        <f t="shared" si="8"/>
        <v/>
      </c>
    </row>
    <row r="333" spans="1:2" x14ac:dyDescent="0.25">
      <c r="A333" s="8"/>
      <c r="B333" s="8" t="str">
        <f t="shared" si="8"/>
        <v/>
      </c>
    </row>
    <row r="334" spans="1:2" x14ac:dyDescent="0.25">
      <c r="A334" s="8"/>
      <c r="B334" s="8" t="str">
        <f t="shared" si="8"/>
        <v/>
      </c>
    </row>
    <row r="335" spans="1:2" x14ac:dyDescent="0.25">
      <c r="A335" s="8"/>
      <c r="B335" s="8" t="str">
        <f t="shared" si="8"/>
        <v/>
      </c>
    </row>
    <row r="336" spans="1:2" x14ac:dyDescent="0.25">
      <c r="A336" s="8"/>
      <c r="B336" s="8" t="str">
        <f t="shared" si="8"/>
        <v/>
      </c>
    </row>
    <row r="337" spans="1:2" x14ac:dyDescent="0.25">
      <c r="A337" s="8"/>
      <c r="B337" s="8" t="str">
        <f t="shared" si="8"/>
        <v/>
      </c>
    </row>
    <row r="338" spans="1:2" x14ac:dyDescent="0.25">
      <c r="A338" s="8"/>
      <c r="B338" s="8" t="str">
        <f t="shared" si="8"/>
        <v/>
      </c>
    </row>
    <row r="339" spans="1:2" x14ac:dyDescent="0.25">
      <c r="A339" s="8"/>
      <c r="B339" s="8" t="str">
        <f t="shared" si="8"/>
        <v/>
      </c>
    </row>
    <row r="340" spans="1:2" x14ac:dyDescent="0.25">
      <c r="A340" s="8"/>
      <c r="B340" s="8" t="str">
        <f t="shared" si="8"/>
        <v/>
      </c>
    </row>
    <row r="341" spans="1:2" x14ac:dyDescent="0.25">
      <c r="A341" s="8"/>
      <c r="B341" s="8" t="str">
        <f t="shared" si="8"/>
        <v/>
      </c>
    </row>
    <row r="342" spans="1:2" x14ac:dyDescent="0.25">
      <c r="A342" s="8"/>
      <c r="B342" s="8" t="str">
        <f t="shared" si="8"/>
        <v/>
      </c>
    </row>
    <row r="343" spans="1:2" x14ac:dyDescent="0.25">
      <c r="A343" s="8"/>
      <c r="B343" s="8" t="str">
        <f t="shared" si="8"/>
        <v/>
      </c>
    </row>
    <row r="344" spans="1:2" x14ac:dyDescent="0.25">
      <c r="A344" s="8"/>
      <c r="B344" s="8" t="str">
        <f t="shared" si="8"/>
        <v/>
      </c>
    </row>
    <row r="345" spans="1:2" x14ac:dyDescent="0.25">
      <c r="A345" s="8"/>
      <c r="B345" s="8" t="str">
        <f t="shared" si="8"/>
        <v/>
      </c>
    </row>
    <row r="346" spans="1:2" x14ac:dyDescent="0.25">
      <c r="A346" s="8"/>
      <c r="B346" s="8" t="str">
        <f t="shared" si="8"/>
        <v/>
      </c>
    </row>
    <row r="347" spans="1:2" x14ac:dyDescent="0.25">
      <c r="A347" s="8"/>
      <c r="B347" s="8" t="str">
        <f t="shared" si="8"/>
        <v/>
      </c>
    </row>
    <row r="348" spans="1:2" x14ac:dyDescent="0.25">
      <c r="A348" s="8"/>
      <c r="B348" s="8" t="str">
        <f t="shared" si="8"/>
        <v/>
      </c>
    </row>
    <row r="349" spans="1:2" x14ac:dyDescent="0.25">
      <c r="A349" s="8"/>
      <c r="B349" s="8" t="str">
        <f t="shared" si="8"/>
        <v/>
      </c>
    </row>
    <row r="350" spans="1:2" x14ac:dyDescent="0.25">
      <c r="A350" s="8"/>
      <c r="B350" s="8" t="str">
        <f t="shared" si="8"/>
        <v/>
      </c>
    </row>
    <row r="351" spans="1:2" x14ac:dyDescent="0.25">
      <c r="A351" s="8"/>
      <c r="B351" s="8" t="str">
        <f t="shared" si="8"/>
        <v/>
      </c>
    </row>
    <row r="352" spans="1:2" x14ac:dyDescent="0.25">
      <c r="A352" s="8"/>
      <c r="B352" s="8" t="str">
        <f t="shared" si="8"/>
        <v/>
      </c>
    </row>
    <row r="353" spans="1:2" x14ac:dyDescent="0.25">
      <c r="A353" s="8"/>
      <c r="B353" s="8" t="str">
        <f t="shared" si="8"/>
        <v/>
      </c>
    </row>
    <row r="354" spans="1:2" x14ac:dyDescent="0.25">
      <c r="A354" s="8"/>
      <c r="B354" s="8" t="str">
        <f t="shared" si="8"/>
        <v/>
      </c>
    </row>
    <row r="355" spans="1:2" x14ac:dyDescent="0.25">
      <c r="A355" s="8"/>
      <c r="B355" s="8" t="str">
        <f t="shared" si="8"/>
        <v/>
      </c>
    </row>
    <row r="356" spans="1:2" x14ac:dyDescent="0.25">
      <c r="A356" s="8"/>
      <c r="B356" s="8" t="str">
        <f t="shared" si="8"/>
        <v/>
      </c>
    </row>
    <row r="357" spans="1:2" x14ac:dyDescent="0.25">
      <c r="A357" s="8"/>
      <c r="B357" s="8" t="str">
        <f t="shared" si="8"/>
        <v/>
      </c>
    </row>
    <row r="358" spans="1:2" x14ac:dyDescent="0.25">
      <c r="A358" s="8"/>
      <c r="B358" s="8" t="str">
        <f t="shared" si="8"/>
        <v/>
      </c>
    </row>
    <row r="359" spans="1:2" x14ac:dyDescent="0.25">
      <c r="A359" s="8"/>
      <c r="B359" s="8" t="str">
        <f t="shared" si="8"/>
        <v/>
      </c>
    </row>
    <row r="360" spans="1:2" x14ac:dyDescent="0.25">
      <c r="A360" s="8"/>
      <c r="B360" s="8" t="str">
        <f t="shared" si="8"/>
        <v/>
      </c>
    </row>
    <row r="361" spans="1:2" x14ac:dyDescent="0.25">
      <c r="A361" s="8"/>
      <c r="B361" s="8" t="str">
        <f t="shared" si="8"/>
        <v/>
      </c>
    </row>
    <row r="362" spans="1:2" x14ac:dyDescent="0.25">
      <c r="A362" s="8"/>
      <c r="B362" s="8" t="str">
        <f t="shared" si="8"/>
        <v/>
      </c>
    </row>
    <row r="363" spans="1:2" x14ac:dyDescent="0.25">
      <c r="A363" s="8"/>
      <c r="B363" s="8" t="str">
        <f t="shared" si="8"/>
        <v/>
      </c>
    </row>
    <row r="364" spans="1:2" x14ac:dyDescent="0.25">
      <c r="A364" s="8"/>
      <c r="B364" s="8" t="str">
        <f t="shared" si="8"/>
        <v/>
      </c>
    </row>
    <row r="365" spans="1:2" x14ac:dyDescent="0.25">
      <c r="A365" s="8"/>
      <c r="B365" s="8" t="str">
        <f t="shared" si="8"/>
        <v/>
      </c>
    </row>
    <row r="366" spans="1:2" x14ac:dyDescent="0.25">
      <c r="A366" s="8"/>
      <c r="B366" s="8" t="str">
        <f t="shared" si="8"/>
        <v/>
      </c>
    </row>
    <row r="367" spans="1:2" x14ac:dyDescent="0.25">
      <c r="A367" s="8"/>
      <c r="B367" s="8" t="str">
        <f t="shared" si="8"/>
        <v/>
      </c>
    </row>
    <row r="368" spans="1:2" x14ac:dyDescent="0.25">
      <c r="A368" s="8"/>
      <c r="B368" s="8" t="str">
        <f t="shared" si="8"/>
        <v/>
      </c>
    </row>
    <row r="369" spans="1:2" x14ac:dyDescent="0.25">
      <c r="A369" s="8"/>
      <c r="B369" s="8" t="str">
        <f t="shared" si="8"/>
        <v/>
      </c>
    </row>
    <row r="370" spans="1:2" x14ac:dyDescent="0.25">
      <c r="A370" s="8"/>
      <c r="B370" s="8" t="str">
        <f t="shared" si="8"/>
        <v/>
      </c>
    </row>
    <row r="371" spans="1:2" x14ac:dyDescent="0.25">
      <c r="A371" s="8"/>
      <c r="B371" s="8" t="str">
        <f t="shared" si="8"/>
        <v/>
      </c>
    </row>
    <row r="372" spans="1:2" x14ac:dyDescent="0.25">
      <c r="A372" s="8"/>
      <c r="B372" s="8" t="str">
        <f t="shared" si="8"/>
        <v/>
      </c>
    </row>
    <row r="373" spans="1:2" x14ac:dyDescent="0.25">
      <c r="A373" s="8"/>
      <c r="B373" s="8" t="str">
        <f t="shared" si="8"/>
        <v/>
      </c>
    </row>
    <row r="374" spans="1:2" x14ac:dyDescent="0.25">
      <c r="A374" s="8"/>
      <c r="B374" s="8" t="str">
        <f t="shared" si="8"/>
        <v/>
      </c>
    </row>
    <row r="375" spans="1:2" x14ac:dyDescent="0.25">
      <c r="A375" s="8"/>
      <c r="B375" s="8" t="str">
        <f t="shared" si="8"/>
        <v/>
      </c>
    </row>
    <row r="376" spans="1:2" x14ac:dyDescent="0.25">
      <c r="A376" s="8"/>
      <c r="B376" s="8" t="str">
        <f t="shared" si="8"/>
        <v/>
      </c>
    </row>
    <row r="377" spans="1:2" x14ac:dyDescent="0.25">
      <c r="A377" s="8"/>
      <c r="B377" s="8" t="str">
        <f t="shared" si="8"/>
        <v/>
      </c>
    </row>
    <row r="378" spans="1:2" x14ac:dyDescent="0.25">
      <c r="A378" s="8"/>
      <c r="B378" s="8" t="str">
        <f t="shared" si="8"/>
        <v/>
      </c>
    </row>
    <row r="379" spans="1:2" x14ac:dyDescent="0.25">
      <c r="A379" s="8"/>
      <c r="B379" s="8" t="str">
        <f t="shared" si="8"/>
        <v/>
      </c>
    </row>
    <row r="380" spans="1:2" x14ac:dyDescent="0.25">
      <c r="A380" s="8"/>
      <c r="B380" s="8" t="str">
        <f t="shared" si="8"/>
        <v/>
      </c>
    </row>
    <row r="381" spans="1:2" x14ac:dyDescent="0.25">
      <c r="A381" s="8"/>
      <c r="B381" s="8" t="str">
        <f t="shared" si="8"/>
        <v/>
      </c>
    </row>
    <row r="382" spans="1:2" x14ac:dyDescent="0.25">
      <c r="A382" s="8"/>
      <c r="B382" s="8" t="str">
        <f t="shared" si="8"/>
        <v/>
      </c>
    </row>
    <row r="383" spans="1:2" x14ac:dyDescent="0.25">
      <c r="A383" s="8"/>
      <c r="B383" s="8" t="str">
        <f t="shared" si="8"/>
        <v/>
      </c>
    </row>
    <row r="384" spans="1:2" x14ac:dyDescent="0.25">
      <c r="A384" s="8"/>
      <c r="B384" s="8" t="str">
        <f t="shared" si="8"/>
        <v/>
      </c>
    </row>
    <row r="385" spans="1:2" x14ac:dyDescent="0.25">
      <c r="A385" s="8"/>
      <c r="B385" s="8" t="str">
        <f t="shared" si="8"/>
        <v/>
      </c>
    </row>
    <row r="386" spans="1:2" x14ac:dyDescent="0.25">
      <c r="A386" s="8"/>
      <c r="B386" s="8" t="str">
        <f t="shared" si="8"/>
        <v/>
      </c>
    </row>
    <row r="387" spans="1:2" x14ac:dyDescent="0.25">
      <c r="A387" s="8"/>
      <c r="B387" s="8" t="str">
        <f t="shared" si="8"/>
        <v/>
      </c>
    </row>
    <row r="388" spans="1:2" x14ac:dyDescent="0.25">
      <c r="A388" s="8"/>
      <c r="B388" s="8" t="str">
        <f t="shared" ref="B388:B451" si="9">IF(A388=0,"",41824+(ROUNDUP(DAYS360(41824,A388)/7,0)*7))</f>
        <v/>
      </c>
    </row>
    <row r="389" spans="1:2" x14ac:dyDescent="0.25">
      <c r="A389" s="8"/>
      <c r="B389" s="8" t="str">
        <f t="shared" si="9"/>
        <v/>
      </c>
    </row>
    <row r="390" spans="1:2" x14ac:dyDescent="0.25">
      <c r="A390" s="8"/>
      <c r="B390" s="8" t="str">
        <f t="shared" si="9"/>
        <v/>
      </c>
    </row>
    <row r="391" spans="1:2" x14ac:dyDescent="0.25">
      <c r="A391" s="8"/>
      <c r="B391" s="8" t="str">
        <f t="shared" si="9"/>
        <v/>
      </c>
    </row>
    <row r="392" spans="1:2" x14ac:dyDescent="0.25">
      <c r="A392" s="8"/>
      <c r="B392" s="8" t="str">
        <f t="shared" si="9"/>
        <v/>
      </c>
    </row>
    <row r="393" spans="1:2" x14ac:dyDescent="0.25">
      <c r="A393" s="8"/>
      <c r="B393" s="8" t="str">
        <f t="shared" si="9"/>
        <v/>
      </c>
    </row>
    <row r="394" spans="1:2" x14ac:dyDescent="0.25">
      <c r="A394" s="8"/>
      <c r="B394" s="8" t="str">
        <f t="shared" si="9"/>
        <v/>
      </c>
    </row>
    <row r="395" spans="1:2" x14ac:dyDescent="0.25">
      <c r="A395" s="8"/>
      <c r="B395" s="8" t="str">
        <f t="shared" si="9"/>
        <v/>
      </c>
    </row>
    <row r="396" spans="1:2" x14ac:dyDescent="0.25">
      <c r="A396" s="8"/>
      <c r="B396" s="8" t="str">
        <f t="shared" si="9"/>
        <v/>
      </c>
    </row>
    <row r="397" spans="1:2" x14ac:dyDescent="0.25">
      <c r="A397" s="8"/>
      <c r="B397" s="8" t="str">
        <f t="shared" si="9"/>
        <v/>
      </c>
    </row>
    <row r="398" spans="1:2" x14ac:dyDescent="0.25">
      <c r="A398" s="8"/>
      <c r="B398" s="8" t="str">
        <f t="shared" si="9"/>
        <v/>
      </c>
    </row>
    <row r="399" spans="1:2" x14ac:dyDescent="0.25">
      <c r="A399" s="8"/>
      <c r="B399" s="8" t="str">
        <f t="shared" si="9"/>
        <v/>
      </c>
    </row>
    <row r="400" spans="1:2" x14ac:dyDescent="0.25">
      <c r="A400" s="8"/>
      <c r="B400" s="8" t="str">
        <f t="shared" si="9"/>
        <v/>
      </c>
    </row>
    <row r="401" spans="1:2" x14ac:dyDescent="0.25">
      <c r="A401" s="8"/>
      <c r="B401" s="8" t="str">
        <f t="shared" si="9"/>
        <v/>
      </c>
    </row>
    <row r="402" spans="1:2" x14ac:dyDescent="0.25">
      <c r="A402" s="8"/>
      <c r="B402" s="8" t="str">
        <f t="shared" si="9"/>
        <v/>
      </c>
    </row>
    <row r="403" spans="1:2" x14ac:dyDescent="0.25">
      <c r="A403" s="8"/>
      <c r="B403" s="8" t="str">
        <f t="shared" si="9"/>
        <v/>
      </c>
    </row>
    <row r="404" spans="1:2" x14ac:dyDescent="0.25">
      <c r="A404" s="8"/>
      <c r="B404" s="8" t="str">
        <f t="shared" si="9"/>
        <v/>
      </c>
    </row>
    <row r="405" spans="1:2" x14ac:dyDescent="0.25">
      <c r="A405" s="8"/>
      <c r="B405" s="8" t="str">
        <f t="shared" si="9"/>
        <v/>
      </c>
    </row>
    <row r="406" spans="1:2" x14ac:dyDescent="0.25">
      <c r="A406" s="8"/>
      <c r="B406" s="8" t="str">
        <f t="shared" si="9"/>
        <v/>
      </c>
    </row>
    <row r="407" spans="1:2" x14ac:dyDescent="0.25">
      <c r="A407" s="8"/>
      <c r="B407" s="8" t="str">
        <f t="shared" si="9"/>
        <v/>
      </c>
    </row>
    <row r="408" spans="1:2" x14ac:dyDescent="0.25">
      <c r="A408" s="8"/>
      <c r="B408" s="8" t="str">
        <f t="shared" si="9"/>
        <v/>
      </c>
    </row>
    <row r="409" spans="1:2" x14ac:dyDescent="0.25">
      <c r="A409" s="8"/>
      <c r="B409" s="8" t="str">
        <f t="shared" si="9"/>
        <v/>
      </c>
    </row>
    <row r="410" spans="1:2" x14ac:dyDescent="0.25">
      <c r="A410" s="8"/>
      <c r="B410" s="8" t="str">
        <f t="shared" si="9"/>
        <v/>
      </c>
    </row>
    <row r="411" spans="1:2" x14ac:dyDescent="0.25">
      <c r="A411" s="8"/>
      <c r="B411" s="8" t="str">
        <f t="shared" si="9"/>
        <v/>
      </c>
    </row>
    <row r="412" spans="1:2" x14ac:dyDescent="0.25">
      <c r="A412" s="8"/>
      <c r="B412" s="8" t="str">
        <f t="shared" si="9"/>
        <v/>
      </c>
    </row>
    <row r="413" spans="1:2" x14ac:dyDescent="0.25">
      <c r="A413" s="8"/>
      <c r="B413" s="8" t="str">
        <f t="shared" si="9"/>
        <v/>
      </c>
    </row>
    <row r="414" spans="1:2" x14ac:dyDescent="0.25">
      <c r="A414" s="8"/>
      <c r="B414" s="8" t="str">
        <f t="shared" si="9"/>
        <v/>
      </c>
    </row>
    <row r="415" spans="1:2" x14ac:dyDescent="0.25">
      <c r="A415" s="8"/>
      <c r="B415" s="8" t="str">
        <f t="shared" si="9"/>
        <v/>
      </c>
    </row>
    <row r="416" spans="1:2" x14ac:dyDescent="0.25">
      <c r="A416" s="8"/>
      <c r="B416" s="8" t="str">
        <f t="shared" si="9"/>
        <v/>
      </c>
    </row>
    <row r="417" spans="1:2" x14ac:dyDescent="0.25">
      <c r="A417" s="8"/>
      <c r="B417" s="8" t="str">
        <f t="shared" si="9"/>
        <v/>
      </c>
    </row>
    <row r="418" spans="1:2" x14ac:dyDescent="0.25">
      <c r="A418" s="8"/>
      <c r="B418" s="8" t="str">
        <f t="shared" si="9"/>
        <v/>
      </c>
    </row>
    <row r="419" spans="1:2" x14ac:dyDescent="0.25">
      <c r="A419" s="8"/>
      <c r="B419" s="8" t="str">
        <f t="shared" si="9"/>
        <v/>
      </c>
    </row>
    <row r="420" spans="1:2" x14ac:dyDescent="0.25">
      <c r="A420" s="8"/>
      <c r="B420" s="8" t="str">
        <f t="shared" si="9"/>
        <v/>
      </c>
    </row>
    <row r="421" spans="1:2" x14ac:dyDescent="0.25">
      <c r="A421" s="8"/>
      <c r="B421" s="8" t="str">
        <f t="shared" si="9"/>
        <v/>
      </c>
    </row>
    <row r="422" spans="1:2" x14ac:dyDescent="0.25">
      <c r="A422" s="8"/>
      <c r="B422" s="8" t="str">
        <f t="shared" si="9"/>
        <v/>
      </c>
    </row>
    <row r="423" spans="1:2" x14ac:dyDescent="0.25">
      <c r="A423" s="8"/>
      <c r="B423" s="8" t="str">
        <f t="shared" si="9"/>
        <v/>
      </c>
    </row>
    <row r="424" spans="1:2" x14ac:dyDescent="0.25">
      <c r="A424" s="8"/>
      <c r="B424" s="8" t="str">
        <f t="shared" si="9"/>
        <v/>
      </c>
    </row>
    <row r="425" spans="1:2" x14ac:dyDescent="0.25">
      <c r="A425" s="8"/>
      <c r="B425" s="8" t="str">
        <f t="shared" si="9"/>
        <v/>
      </c>
    </row>
    <row r="426" spans="1:2" x14ac:dyDescent="0.25">
      <c r="A426" s="8"/>
      <c r="B426" s="8" t="str">
        <f t="shared" si="9"/>
        <v/>
      </c>
    </row>
    <row r="427" spans="1:2" x14ac:dyDescent="0.25">
      <c r="A427" s="8"/>
      <c r="B427" s="8" t="str">
        <f t="shared" si="9"/>
        <v/>
      </c>
    </row>
    <row r="428" spans="1:2" x14ac:dyDescent="0.25">
      <c r="A428" s="8"/>
      <c r="B428" s="8" t="str">
        <f t="shared" si="9"/>
        <v/>
      </c>
    </row>
    <row r="429" spans="1:2" x14ac:dyDescent="0.25">
      <c r="A429" s="8"/>
      <c r="B429" s="8" t="str">
        <f t="shared" si="9"/>
        <v/>
      </c>
    </row>
    <row r="430" spans="1:2" x14ac:dyDescent="0.25">
      <c r="A430" s="8"/>
      <c r="B430" s="8" t="str">
        <f t="shared" si="9"/>
        <v/>
      </c>
    </row>
    <row r="431" spans="1:2" x14ac:dyDescent="0.25">
      <c r="A431" s="8"/>
      <c r="B431" s="8" t="str">
        <f t="shared" si="9"/>
        <v/>
      </c>
    </row>
    <row r="432" spans="1:2" x14ac:dyDescent="0.25">
      <c r="A432" s="8"/>
      <c r="B432" s="8" t="str">
        <f t="shared" si="9"/>
        <v/>
      </c>
    </row>
    <row r="433" spans="1:2" x14ac:dyDescent="0.25">
      <c r="A433" s="8"/>
      <c r="B433" s="8" t="str">
        <f t="shared" si="9"/>
        <v/>
      </c>
    </row>
    <row r="434" spans="1:2" x14ac:dyDescent="0.25">
      <c r="A434" s="8"/>
      <c r="B434" s="8" t="str">
        <f t="shared" si="9"/>
        <v/>
      </c>
    </row>
    <row r="435" spans="1:2" x14ac:dyDescent="0.25">
      <c r="A435" s="8"/>
      <c r="B435" s="8" t="str">
        <f t="shared" si="9"/>
        <v/>
      </c>
    </row>
    <row r="436" spans="1:2" x14ac:dyDescent="0.25">
      <c r="A436" s="8"/>
      <c r="B436" s="8" t="str">
        <f t="shared" si="9"/>
        <v/>
      </c>
    </row>
    <row r="437" spans="1:2" x14ac:dyDescent="0.25">
      <c r="A437" s="8"/>
      <c r="B437" s="8" t="str">
        <f t="shared" si="9"/>
        <v/>
      </c>
    </row>
    <row r="438" spans="1:2" x14ac:dyDescent="0.25">
      <c r="A438" s="8"/>
      <c r="B438" s="8" t="str">
        <f t="shared" si="9"/>
        <v/>
      </c>
    </row>
    <row r="439" spans="1:2" x14ac:dyDescent="0.25">
      <c r="A439" s="8"/>
      <c r="B439" s="8" t="str">
        <f t="shared" si="9"/>
        <v/>
      </c>
    </row>
    <row r="440" spans="1:2" x14ac:dyDescent="0.25">
      <c r="A440" s="8"/>
      <c r="B440" s="8" t="str">
        <f t="shared" si="9"/>
        <v/>
      </c>
    </row>
    <row r="441" spans="1:2" x14ac:dyDescent="0.25">
      <c r="A441" s="8"/>
      <c r="B441" s="8" t="str">
        <f t="shared" si="9"/>
        <v/>
      </c>
    </row>
    <row r="442" spans="1:2" x14ac:dyDescent="0.25">
      <c r="A442" s="8"/>
      <c r="B442" s="8" t="str">
        <f t="shared" si="9"/>
        <v/>
      </c>
    </row>
    <row r="443" spans="1:2" x14ac:dyDescent="0.25">
      <c r="A443" s="8"/>
      <c r="B443" s="8" t="str">
        <f t="shared" si="9"/>
        <v/>
      </c>
    </row>
    <row r="444" spans="1:2" x14ac:dyDescent="0.25">
      <c r="A444" s="8"/>
      <c r="B444" s="8" t="str">
        <f t="shared" si="9"/>
        <v/>
      </c>
    </row>
    <row r="445" spans="1:2" x14ac:dyDescent="0.25">
      <c r="A445" s="8"/>
      <c r="B445" s="8" t="str">
        <f t="shared" si="9"/>
        <v/>
      </c>
    </row>
    <row r="446" spans="1:2" x14ac:dyDescent="0.25">
      <c r="A446" s="8"/>
      <c r="B446" s="8" t="str">
        <f t="shared" si="9"/>
        <v/>
      </c>
    </row>
    <row r="447" spans="1:2" x14ac:dyDescent="0.25">
      <c r="A447" s="8"/>
      <c r="B447" s="8" t="str">
        <f t="shared" si="9"/>
        <v/>
      </c>
    </row>
    <row r="448" spans="1:2" x14ac:dyDescent="0.25">
      <c r="A448" s="8"/>
      <c r="B448" s="8" t="str">
        <f t="shared" si="9"/>
        <v/>
      </c>
    </row>
    <row r="449" spans="1:2" x14ac:dyDescent="0.25">
      <c r="A449" s="8"/>
      <c r="B449" s="8" t="str">
        <f t="shared" si="9"/>
        <v/>
      </c>
    </row>
    <row r="450" spans="1:2" x14ac:dyDescent="0.25">
      <c r="A450" s="8"/>
      <c r="B450" s="8" t="str">
        <f t="shared" si="9"/>
        <v/>
      </c>
    </row>
    <row r="451" spans="1:2" x14ac:dyDescent="0.25">
      <c r="A451" s="8"/>
      <c r="B451" s="8" t="str">
        <f t="shared" si="9"/>
        <v/>
      </c>
    </row>
    <row r="452" spans="1:2" x14ac:dyDescent="0.25">
      <c r="A452" s="8"/>
      <c r="B452" s="8" t="str">
        <f t="shared" ref="B452:B515" si="10">IF(A452=0,"",41824+(ROUNDUP(DAYS360(41824,A452)/7,0)*7))</f>
        <v/>
      </c>
    </row>
    <row r="453" spans="1:2" x14ac:dyDescent="0.25">
      <c r="A453" s="8"/>
      <c r="B453" s="8" t="str">
        <f t="shared" si="10"/>
        <v/>
      </c>
    </row>
    <row r="454" spans="1:2" x14ac:dyDescent="0.25">
      <c r="A454" s="8"/>
      <c r="B454" s="8" t="str">
        <f t="shared" si="10"/>
        <v/>
      </c>
    </row>
    <row r="455" spans="1:2" x14ac:dyDescent="0.25">
      <c r="A455" s="8"/>
      <c r="B455" s="8" t="str">
        <f t="shared" si="10"/>
        <v/>
      </c>
    </row>
    <row r="456" spans="1:2" x14ac:dyDescent="0.25">
      <c r="A456" s="8"/>
      <c r="B456" s="8" t="str">
        <f t="shared" si="10"/>
        <v/>
      </c>
    </row>
    <row r="457" spans="1:2" x14ac:dyDescent="0.25">
      <c r="A457" s="8"/>
      <c r="B457" s="8" t="str">
        <f t="shared" si="10"/>
        <v/>
      </c>
    </row>
    <row r="458" spans="1:2" x14ac:dyDescent="0.25">
      <c r="A458" s="8"/>
      <c r="B458" s="8" t="str">
        <f t="shared" si="10"/>
        <v/>
      </c>
    </row>
    <row r="459" spans="1:2" x14ac:dyDescent="0.25">
      <c r="A459" s="8"/>
      <c r="B459" s="8" t="str">
        <f t="shared" si="10"/>
        <v/>
      </c>
    </row>
    <row r="460" spans="1:2" x14ac:dyDescent="0.25">
      <c r="A460" s="8"/>
      <c r="B460" s="8" t="str">
        <f t="shared" si="10"/>
        <v/>
      </c>
    </row>
    <row r="461" spans="1:2" x14ac:dyDescent="0.25">
      <c r="A461" s="8"/>
      <c r="B461" s="8" t="str">
        <f t="shared" si="10"/>
        <v/>
      </c>
    </row>
    <row r="462" spans="1:2" x14ac:dyDescent="0.25">
      <c r="A462" s="8"/>
      <c r="B462" s="8" t="str">
        <f t="shared" si="10"/>
        <v/>
      </c>
    </row>
    <row r="463" spans="1:2" x14ac:dyDescent="0.25">
      <c r="A463" s="8"/>
      <c r="B463" s="8" t="str">
        <f t="shared" si="10"/>
        <v/>
      </c>
    </row>
    <row r="464" spans="1:2" x14ac:dyDescent="0.25">
      <c r="A464" s="8"/>
      <c r="B464" s="8" t="str">
        <f t="shared" si="10"/>
        <v/>
      </c>
    </row>
    <row r="465" spans="1:2" x14ac:dyDescent="0.25">
      <c r="A465" s="8"/>
      <c r="B465" s="8" t="str">
        <f t="shared" si="10"/>
        <v/>
      </c>
    </row>
    <row r="466" spans="1:2" x14ac:dyDescent="0.25">
      <c r="A466" s="8"/>
      <c r="B466" s="8" t="str">
        <f t="shared" si="10"/>
        <v/>
      </c>
    </row>
    <row r="467" spans="1:2" x14ac:dyDescent="0.25">
      <c r="A467" s="8"/>
      <c r="B467" s="8" t="str">
        <f t="shared" si="10"/>
        <v/>
      </c>
    </row>
    <row r="468" spans="1:2" x14ac:dyDescent="0.25">
      <c r="A468" s="8"/>
      <c r="B468" s="8" t="str">
        <f t="shared" si="10"/>
        <v/>
      </c>
    </row>
    <row r="469" spans="1:2" x14ac:dyDescent="0.25">
      <c r="A469" s="8"/>
      <c r="B469" s="8" t="str">
        <f t="shared" si="10"/>
        <v/>
      </c>
    </row>
    <row r="470" spans="1:2" x14ac:dyDescent="0.25">
      <c r="A470" s="8"/>
      <c r="B470" s="8" t="str">
        <f t="shared" si="10"/>
        <v/>
      </c>
    </row>
    <row r="471" spans="1:2" x14ac:dyDescent="0.25">
      <c r="A471" s="8"/>
      <c r="B471" s="8" t="str">
        <f t="shared" si="10"/>
        <v/>
      </c>
    </row>
    <row r="472" spans="1:2" x14ac:dyDescent="0.25">
      <c r="A472" s="8"/>
      <c r="B472" s="8" t="str">
        <f t="shared" si="10"/>
        <v/>
      </c>
    </row>
    <row r="473" spans="1:2" x14ac:dyDescent="0.25">
      <c r="A473" s="8"/>
      <c r="B473" s="8" t="str">
        <f t="shared" si="10"/>
        <v/>
      </c>
    </row>
    <row r="474" spans="1:2" x14ac:dyDescent="0.25">
      <c r="A474" s="8"/>
      <c r="B474" s="8" t="str">
        <f t="shared" si="10"/>
        <v/>
      </c>
    </row>
    <row r="475" spans="1:2" x14ac:dyDescent="0.25">
      <c r="A475" s="8"/>
      <c r="B475" s="8" t="str">
        <f t="shared" si="10"/>
        <v/>
      </c>
    </row>
    <row r="476" spans="1:2" x14ac:dyDescent="0.25">
      <c r="A476" s="8"/>
      <c r="B476" s="8" t="str">
        <f t="shared" si="10"/>
        <v/>
      </c>
    </row>
    <row r="477" spans="1:2" x14ac:dyDescent="0.25">
      <c r="A477" s="8"/>
      <c r="B477" s="8" t="str">
        <f t="shared" si="10"/>
        <v/>
      </c>
    </row>
    <row r="478" spans="1:2" x14ac:dyDescent="0.25">
      <c r="A478" s="8"/>
      <c r="B478" s="8" t="str">
        <f t="shared" si="10"/>
        <v/>
      </c>
    </row>
    <row r="479" spans="1:2" x14ac:dyDescent="0.25">
      <c r="A479" s="8"/>
      <c r="B479" s="8" t="str">
        <f t="shared" si="10"/>
        <v/>
      </c>
    </row>
    <row r="480" spans="1:2" x14ac:dyDescent="0.25">
      <c r="A480" s="8"/>
      <c r="B480" s="8" t="str">
        <f t="shared" si="10"/>
        <v/>
      </c>
    </row>
    <row r="481" spans="1:2" x14ac:dyDescent="0.25">
      <c r="A481" s="8"/>
      <c r="B481" s="8" t="str">
        <f t="shared" si="10"/>
        <v/>
      </c>
    </row>
    <row r="482" spans="1:2" x14ac:dyDescent="0.25">
      <c r="A482" s="8"/>
      <c r="B482" s="8" t="str">
        <f t="shared" si="10"/>
        <v/>
      </c>
    </row>
    <row r="483" spans="1:2" x14ac:dyDescent="0.25">
      <c r="A483" s="8"/>
      <c r="B483" s="8" t="str">
        <f t="shared" si="10"/>
        <v/>
      </c>
    </row>
    <row r="484" spans="1:2" x14ac:dyDescent="0.25">
      <c r="A484" s="8"/>
      <c r="B484" s="8" t="str">
        <f t="shared" si="10"/>
        <v/>
      </c>
    </row>
    <row r="485" spans="1:2" x14ac:dyDescent="0.25">
      <c r="A485" s="8"/>
      <c r="B485" s="8" t="str">
        <f t="shared" si="10"/>
        <v/>
      </c>
    </row>
    <row r="486" spans="1:2" x14ac:dyDescent="0.25">
      <c r="A486" s="8"/>
      <c r="B486" s="8" t="str">
        <f t="shared" si="10"/>
        <v/>
      </c>
    </row>
    <row r="487" spans="1:2" x14ac:dyDescent="0.25">
      <c r="A487" s="8"/>
      <c r="B487" s="8" t="str">
        <f t="shared" si="10"/>
        <v/>
      </c>
    </row>
    <row r="488" spans="1:2" x14ac:dyDescent="0.25">
      <c r="A488" s="8"/>
      <c r="B488" s="8" t="str">
        <f t="shared" si="10"/>
        <v/>
      </c>
    </row>
    <row r="489" spans="1:2" x14ac:dyDescent="0.25">
      <c r="A489" s="8"/>
      <c r="B489" s="8" t="str">
        <f t="shared" si="10"/>
        <v/>
      </c>
    </row>
    <row r="490" spans="1:2" x14ac:dyDescent="0.25">
      <c r="A490" s="8"/>
      <c r="B490" s="8" t="str">
        <f t="shared" si="10"/>
        <v/>
      </c>
    </row>
    <row r="491" spans="1:2" x14ac:dyDescent="0.25">
      <c r="A491" s="8"/>
      <c r="B491" s="8" t="str">
        <f t="shared" si="10"/>
        <v/>
      </c>
    </row>
    <row r="492" spans="1:2" x14ac:dyDescent="0.25">
      <c r="A492" s="8"/>
      <c r="B492" s="8" t="str">
        <f t="shared" si="10"/>
        <v/>
      </c>
    </row>
    <row r="493" spans="1:2" x14ac:dyDescent="0.25">
      <c r="A493" s="8"/>
      <c r="B493" s="8" t="str">
        <f t="shared" si="10"/>
        <v/>
      </c>
    </row>
    <row r="494" spans="1:2" x14ac:dyDescent="0.25">
      <c r="A494" s="8"/>
      <c r="B494" s="8" t="str">
        <f t="shared" si="10"/>
        <v/>
      </c>
    </row>
    <row r="495" spans="1:2" x14ac:dyDescent="0.25">
      <c r="A495" s="8"/>
      <c r="B495" s="8" t="str">
        <f t="shared" si="10"/>
        <v/>
      </c>
    </row>
    <row r="496" spans="1:2" x14ac:dyDescent="0.25">
      <c r="A496" s="8"/>
      <c r="B496" s="8" t="str">
        <f t="shared" si="10"/>
        <v/>
      </c>
    </row>
    <row r="497" spans="1:2" x14ac:dyDescent="0.25">
      <c r="A497" s="8"/>
      <c r="B497" s="8" t="str">
        <f t="shared" si="10"/>
        <v/>
      </c>
    </row>
    <row r="498" spans="1:2" x14ac:dyDescent="0.25">
      <c r="A498" s="8"/>
      <c r="B498" s="8" t="str">
        <f t="shared" si="10"/>
        <v/>
      </c>
    </row>
    <row r="499" spans="1:2" x14ac:dyDescent="0.25">
      <c r="A499" s="8"/>
      <c r="B499" s="8" t="str">
        <f t="shared" si="10"/>
        <v/>
      </c>
    </row>
    <row r="500" spans="1:2" x14ac:dyDescent="0.25">
      <c r="A500" s="8"/>
      <c r="B500" s="8" t="str">
        <f t="shared" si="10"/>
        <v/>
      </c>
    </row>
    <row r="501" spans="1:2" x14ac:dyDescent="0.25">
      <c r="A501" s="8"/>
      <c r="B501" s="8" t="str">
        <f t="shared" si="10"/>
        <v/>
      </c>
    </row>
    <row r="502" spans="1:2" x14ac:dyDescent="0.25">
      <c r="A502" s="8"/>
      <c r="B502" s="8" t="str">
        <f t="shared" si="10"/>
        <v/>
      </c>
    </row>
    <row r="503" spans="1:2" x14ac:dyDescent="0.25">
      <c r="A503" s="8"/>
      <c r="B503" s="8" t="str">
        <f t="shared" si="10"/>
        <v/>
      </c>
    </row>
    <row r="504" spans="1:2" x14ac:dyDescent="0.25">
      <c r="A504" s="8"/>
      <c r="B504" s="8" t="str">
        <f t="shared" si="10"/>
        <v/>
      </c>
    </row>
    <row r="505" spans="1:2" x14ac:dyDescent="0.25">
      <c r="A505" s="8"/>
      <c r="B505" s="8" t="str">
        <f t="shared" si="10"/>
        <v/>
      </c>
    </row>
    <row r="506" spans="1:2" x14ac:dyDescent="0.25">
      <c r="A506" s="8"/>
      <c r="B506" s="8" t="str">
        <f t="shared" si="10"/>
        <v/>
      </c>
    </row>
    <row r="507" spans="1:2" x14ac:dyDescent="0.25">
      <c r="A507" s="8"/>
      <c r="B507" s="8" t="str">
        <f t="shared" si="10"/>
        <v/>
      </c>
    </row>
    <row r="508" spans="1:2" x14ac:dyDescent="0.25">
      <c r="A508" s="8"/>
      <c r="B508" s="8" t="str">
        <f t="shared" si="10"/>
        <v/>
      </c>
    </row>
    <row r="509" spans="1:2" x14ac:dyDescent="0.25">
      <c r="A509" s="8"/>
      <c r="B509" s="8" t="str">
        <f t="shared" si="10"/>
        <v/>
      </c>
    </row>
    <row r="510" spans="1:2" x14ac:dyDescent="0.25">
      <c r="A510" s="8"/>
      <c r="B510" s="8" t="str">
        <f t="shared" si="10"/>
        <v/>
      </c>
    </row>
    <row r="511" spans="1:2" x14ac:dyDescent="0.25">
      <c r="A511" s="8"/>
      <c r="B511" s="8" t="str">
        <f t="shared" si="10"/>
        <v/>
      </c>
    </row>
    <row r="512" spans="1:2" x14ac:dyDescent="0.25">
      <c r="A512" s="8"/>
      <c r="B512" s="8" t="str">
        <f t="shared" si="10"/>
        <v/>
      </c>
    </row>
    <row r="513" spans="1:2" x14ac:dyDescent="0.25">
      <c r="A513" s="8"/>
      <c r="B513" s="8" t="str">
        <f t="shared" si="10"/>
        <v/>
      </c>
    </row>
    <row r="514" spans="1:2" x14ac:dyDescent="0.25">
      <c r="A514" s="8"/>
      <c r="B514" s="8" t="str">
        <f t="shared" si="10"/>
        <v/>
      </c>
    </row>
    <row r="515" spans="1:2" x14ac:dyDescent="0.25">
      <c r="A515" s="8"/>
      <c r="B515" s="8" t="str">
        <f t="shared" si="10"/>
        <v/>
      </c>
    </row>
    <row r="516" spans="1:2" x14ac:dyDescent="0.25">
      <c r="A516" s="8"/>
      <c r="B516" s="8" t="str">
        <f t="shared" ref="B516:B579" si="11">IF(A516=0,"",41824+(ROUNDUP(DAYS360(41824,A516)/7,0)*7))</f>
        <v/>
      </c>
    </row>
    <row r="517" spans="1:2" x14ac:dyDescent="0.25">
      <c r="A517" s="8"/>
      <c r="B517" s="8" t="str">
        <f t="shared" si="11"/>
        <v/>
      </c>
    </row>
    <row r="518" spans="1:2" x14ac:dyDescent="0.25">
      <c r="A518" s="8"/>
      <c r="B518" s="8" t="str">
        <f t="shared" si="11"/>
        <v/>
      </c>
    </row>
    <row r="519" spans="1:2" x14ac:dyDescent="0.25">
      <c r="A519" s="8"/>
      <c r="B519" s="8" t="str">
        <f t="shared" si="11"/>
        <v/>
      </c>
    </row>
    <row r="520" spans="1:2" x14ac:dyDescent="0.25">
      <c r="A520" s="8"/>
      <c r="B520" s="8" t="str">
        <f t="shared" si="11"/>
        <v/>
      </c>
    </row>
    <row r="521" spans="1:2" x14ac:dyDescent="0.25">
      <c r="A521" s="8"/>
      <c r="B521" s="8" t="str">
        <f t="shared" si="11"/>
        <v/>
      </c>
    </row>
    <row r="522" spans="1:2" x14ac:dyDescent="0.25">
      <c r="A522" s="8"/>
      <c r="B522" s="8" t="str">
        <f t="shared" si="11"/>
        <v/>
      </c>
    </row>
    <row r="523" spans="1:2" x14ac:dyDescent="0.25">
      <c r="A523" s="8"/>
      <c r="B523" s="8" t="str">
        <f t="shared" si="11"/>
        <v/>
      </c>
    </row>
    <row r="524" spans="1:2" x14ac:dyDescent="0.25">
      <c r="A524" s="8"/>
      <c r="B524" s="8" t="str">
        <f t="shared" si="11"/>
        <v/>
      </c>
    </row>
    <row r="525" spans="1:2" x14ac:dyDescent="0.25">
      <c r="A525" s="8"/>
      <c r="B525" s="8" t="str">
        <f t="shared" si="11"/>
        <v/>
      </c>
    </row>
    <row r="526" spans="1:2" x14ac:dyDescent="0.25">
      <c r="A526" s="8"/>
      <c r="B526" s="8" t="str">
        <f t="shared" si="11"/>
        <v/>
      </c>
    </row>
    <row r="527" spans="1:2" x14ac:dyDescent="0.25">
      <c r="A527" s="8"/>
      <c r="B527" s="8" t="str">
        <f t="shared" si="11"/>
        <v/>
      </c>
    </row>
    <row r="528" spans="1:2" x14ac:dyDescent="0.25">
      <c r="A528" s="8"/>
      <c r="B528" s="8" t="str">
        <f t="shared" si="11"/>
        <v/>
      </c>
    </row>
    <row r="529" spans="1:2" x14ac:dyDescent="0.25">
      <c r="A529" s="8"/>
      <c r="B529" s="8" t="str">
        <f t="shared" si="11"/>
        <v/>
      </c>
    </row>
    <row r="530" spans="1:2" x14ac:dyDescent="0.25">
      <c r="A530" s="8"/>
      <c r="B530" s="8" t="str">
        <f t="shared" si="11"/>
        <v/>
      </c>
    </row>
    <row r="531" spans="1:2" x14ac:dyDescent="0.25">
      <c r="A531" s="8"/>
      <c r="B531" s="8" t="str">
        <f t="shared" si="11"/>
        <v/>
      </c>
    </row>
    <row r="532" spans="1:2" x14ac:dyDescent="0.25">
      <c r="A532" s="8"/>
      <c r="B532" s="8" t="str">
        <f t="shared" si="11"/>
        <v/>
      </c>
    </row>
    <row r="533" spans="1:2" x14ac:dyDescent="0.25">
      <c r="A533" s="8"/>
      <c r="B533" s="8" t="str">
        <f t="shared" si="11"/>
        <v/>
      </c>
    </row>
    <row r="534" spans="1:2" x14ac:dyDescent="0.25">
      <c r="A534" s="8"/>
      <c r="B534" s="8" t="str">
        <f t="shared" si="11"/>
        <v/>
      </c>
    </row>
    <row r="535" spans="1:2" x14ac:dyDescent="0.25">
      <c r="A535" s="8"/>
      <c r="B535" s="8" t="str">
        <f t="shared" si="11"/>
        <v/>
      </c>
    </row>
    <row r="536" spans="1:2" x14ac:dyDescent="0.25">
      <c r="A536" s="8"/>
      <c r="B536" s="8" t="str">
        <f t="shared" si="11"/>
        <v/>
      </c>
    </row>
    <row r="537" spans="1:2" x14ac:dyDescent="0.25">
      <c r="A537" s="8"/>
      <c r="B537" s="8" t="str">
        <f t="shared" si="11"/>
        <v/>
      </c>
    </row>
    <row r="538" spans="1:2" x14ac:dyDescent="0.25">
      <c r="A538" s="8"/>
      <c r="B538" s="8" t="str">
        <f t="shared" si="11"/>
        <v/>
      </c>
    </row>
    <row r="539" spans="1:2" x14ac:dyDescent="0.25">
      <c r="A539" s="8"/>
      <c r="B539" s="8" t="str">
        <f t="shared" si="11"/>
        <v/>
      </c>
    </row>
    <row r="540" spans="1:2" x14ac:dyDescent="0.25">
      <c r="A540" s="8"/>
      <c r="B540" s="8" t="str">
        <f t="shared" si="11"/>
        <v/>
      </c>
    </row>
    <row r="541" spans="1:2" x14ac:dyDescent="0.25">
      <c r="A541" s="8"/>
      <c r="B541" s="8" t="str">
        <f t="shared" si="11"/>
        <v/>
      </c>
    </row>
    <row r="542" spans="1:2" x14ac:dyDescent="0.25">
      <c r="A542" s="8"/>
      <c r="B542" s="8" t="str">
        <f t="shared" si="11"/>
        <v/>
      </c>
    </row>
    <row r="543" spans="1:2" x14ac:dyDescent="0.25">
      <c r="A543" s="8"/>
      <c r="B543" s="8" t="str">
        <f t="shared" si="11"/>
        <v/>
      </c>
    </row>
    <row r="544" spans="1:2" x14ac:dyDescent="0.25">
      <c r="A544" s="8"/>
      <c r="B544" s="8" t="str">
        <f t="shared" si="11"/>
        <v/>
      </c>
    </row>
    <row r="545" spans="1:2" x14ac:dyDescent="0.25">
      <c r="A545" s="8"/>
      <c r="B545" s="8" t="str">
        <f t="shared" si="11"/>
        <v/>
      </c>
    </row>
    <row r="546" spans="1:2" x14ac:dyDescent="0.25">
      <c r="A546" s="8"/>
      <c r="B546" s="8" t="str">
        <f t="shared" si="11"/>
        <v/>
      </c>
    </row>
    <row r="547" spans="1:2" x14ac:dyDescent="0.25">
      <c r="A547" s="8"/>
      <c r="B547" s="8" t="str">
        <f t="shared" si="11"/>
        <v/>
      </c>
    </row>
    <row r="548" spans="1:2" x14ac:dyDescent="0.25">
      <c r="A548" s="8"/>
      <c r="B548" s="8" t="str">
        <f t="shared" si="11"/>
        <v/>
      </c>
    </row>
    <row r="549" spans="1:2" x14ac:dyDescent="0.25">
      <c r="A549" s="8"/>
      <c r="B549" s="8" t="str">
        <f t="shared" si="11"/>
        <v/>
      </c>
    </row>
    <row r="550" spans="1:2" x14ac:dyDescent="0.25">
      <c r="A550" s="8"/>
      <c r="B550" s="8" t="str">
        <f t="shared" si="11"/>
        <v/>
      </c>
    </row>
    <row r="551" spans="1:2" x14ac:dyDescent="0.25">
      <c r="A551" s="8"/>
      <c r="B551" s="8" t="str">
        <f t="shared" si="11"/>
        <v/>
      </c>
    </row>
    <row r="552" spans="1:2" x14ac:dyDescent="0.25">
      <c r="A552" s="8"/>
      <c r="B552" s="8" t="str">
        <f t="shared" si="11"/>
        <v/>
      </c>
    </row>
    <row r="553" spans="1:2" x14ac:dyDescent="0.25">
      <c r="A553" s="8"/>
      <c r="B553" s="8" t="str">
        <f t="shared" si="11"/>
        <v/>
      </c>
    </row>
    <row r="554" spans="1:2" x14ac:dyDescent="0.25">
      <c r="A554" s="8"/>
      <c r="B554" s="8" t="str">
        <f t="shared" si="11"/>
        <v/>
      </c>
    </row>
    <row r="555" spans="1:2" x14ac:dyDescent="0.25">
      <c r="A555" s="8"/>
      <c r="B555" s="8" t="str">
        <f t="shared" si="11"/>
        <v/>
      </c>
    </row>
    <row r="556" spans="1:2" x14ac:dyDescent="0.25">
      <c r="A556" s="8"/>
      <c r="B556" s="8" t="str">
        <f t="shared" si="11"/>
        <v/>
      </c>
    </row>
    <row r="557" spans="1:2" x14ac:dyDescent="0.25">
      <c r="A557" s="8"/>
      <c r="B557" s="8" t="str">
        <f t="shared" si="11"/>
        <v/>
      </c>
    </row>
    <row r="558" spans="1:2" x14ac:dyDescent="0.25">
      <c r="A558" s="8"/>
      <c r="B558" s="8" t="str">
        <f t="shared" si="11"/>
        <v/>
      </c>
    </row>
    <row r="559" spans="1:2" x14ac:dyDescent="0.25">
      <c r="A559" s="8"/>
      <c r="B559" s="8" t="str">
        <f t="shared" si="11"/>
        <v/>
      </c>
    </row>
    <row r="560" spans="1:2" x14ac:dyDescent="0.25">
      <c r="A560" s="8"/>
      <c r="B560" s="8" t="str">
        <f t="shared" si="11"/>
        <v/>
      </c>
    </row>
    <row r="561" spans="1:2" x14ac:dyDescent="0.25">
      <c r="A561" s="8"/>
      <c r="B561" s="8" t="str">
        <f t="shared" si="11"/>
        <v/>
      </c>
    </row>
    <row r="562" spans="1:2" x14ac:dyDescent="0.25">
      <c r="A562" s="8"/>
      <c r="B562" s="8" t="str">
        <f t="shared" si="11"/>
        <v/>
      </c>
    </row>
    <row r="563" spans="1:2" x14ac:dyDescent="0.25">
      <c r="A563" s="8"/>
      <c r="B563" s="8" t="str">
        <f t="shared" si="11"/>
        <v/>
      </c>
    </row>
    <row r="564" spans="1:2" x14ac:dyDescent="0.25">
      <c r="A564" s="8"/>
      <c r="B564" s="8" t="str">
        <f t="shared" si="11"/>
        <v/>
      </c>
    </row>
    <row r="565" spans="1:2" x14ac:dyDescent="0.25">
      <c r="A565" s="8"/>
      <c r="B565" s="8" t="str">
        <f t="shared" si="11"/>
        <v/>
      </c>
    </row>
    <row r="566" spans="1:2" x14ac:dyDescent="0.25">
      <c r="A566" s="8"/>
      <c r="B566" s="8" t="str">
        <f t="shared" si="11"/>
        <v/>
      </c>
    </row>
    <row r="567" spans="1:2" x14ac:dyDescent="0.25">
      <c r="A567" s="8"/>
      <c r="B567" s="8" t="str">
        <f t="shared" si="11"/>
        <v/>
      </c>
    </row>
    <row r="568" spans="1:2" x14ac:dyDescent="0.25">
      <c r="A568" s="8"/>
      <c r="B568" s="8" t="str">
        <f t="shared" si="11"/>
        <v/>
      </c>
    </row>
    <row r="569" spans="1:2" x14ac:dyDescent="0.25">
      <c r="A569" s="8"/>
      <c r="B569" s="8" t="str">
        <f t="shared" si="11"/>
        <v/>
      </c>
    </row>
    <row r="570" spans="1:2" x14ac:dyDescent="0.25">
      <c r="A570" s="8"/>
      <c r="B570" s="8" t="str">
        <f t="shared" si="11"/>
        <v/>
      </c>
    </row>
    <row r="571" spans="1:2" x14ac:dyDescent="0.25">
      <c r="A571" s="8"/>
      <c r="B571" s="8" t="str">
        <f t="shared" si="11"/>
        <v/>
      </c>
    </row>
    <row r="572" spans="1:2" x14ac:dyDescent="0.25">
      <c r="A572" s="8"/>
      <c r="B572" s="8" t="str">
        <f t="shared" si="11"/>
        <v/>
      </c>
    </row>
    <row r="573" spans="1:2" x14ac:dyDescent="0.25">
      <c r="A573" s="8"/>
      <c r="B573" s="8" t="str">
        <f t="shared" si="11"/>
        <v/>
      </c>
    </row>
    <row r="574" spans="1:2" x14ac:dyDescent="0.25">
      <c r="A574" s="8"/>
      <c r="B574" s="8" t="str">
        <f t="shared" si="11"/>
        <v/>
      </c>
    </row>
    <row r="575" spans="1:2" x14ac:dyDescent="0.25">
      <c r="A575" s="8"/>
      <c r="B575" s="8" t="str">
        <f t="shared" si="11"/>
        <v/>
      </c>
    </row>
    <row r="576" spans="1:2" x14ac:dyDescent="0.25">
      <c r="A576" s="8"/>
      <c r="B576" s="8" t="str">
        <f t="shared" si="11"/>
        <v/>
      </c>
    </row>
    <row r="577" spans="1:2" x14ac:dyDescent="0.25">
      <c r="A577" s="8"/>
      <c r="B577" s="8" t="str">
        <f t="shared" si="11"/>
        <v/>
      </c>
    </row>
    <row r="578" spans="1:2" x14ac:dyDescent="0.25">
      <c r="A578" s="8"/>
      <c r="B578" s="8" t="str">
        <f t="shared" si="11"/>
        <v/>
      </c>
    </row>
    <row r="579" spans="1:2" x14ac:dyDescent="0.25">
      <c r="A579" s="8"/>
      <c r="B579" s="8" t="str">
        <f t="shared" si="11"/>
        <v/>
      </c>
    </row>
    <row r="580" spans="1:2" x14ac:dyDescent="0.25">
      <c r="A580" s="8"/>
      <c r="B580" s="8" t="str">
        <f t="shared" ref="B580:B643" si="12">IF(A580=0,"",41824+(ROUNDUP(DAYS360(41824,A580)/7,0)*7))</f>
        <v/>
      </c>
    </row>
    <row r="581" spans="1:2" x14ac:dyDescent="0.25">
      <c r="A581" s="8"/>
      <c r="B581" s="8" t="str">
        <f t="shared" si="12"/>
        <v/>
      </c>
    </row>
    <row r="582" spans="1:2" x14ac:dyDescent="0.25">
      <c r="A582" s="8"/>
      <c r="B582" s="8" t="str">
        <f t="shared" si="12"/>
        <v/>
      </c>
    </row>
    <row r="583" spans="1:2" x14ac:dyDescent="0.25">
      <c r="A583" s="8"/>
      <c r="B583" s="8" t="str">
        <f t="shared" si="12"/>
        <v/>
      </c>
    </row>
    <row r="584" spans="1:2" x14ac:dyDescent="0.25">
      <c r="A584" s="8"/>
      <c r="B584" s="8" t="str">
        <f t="shared" si="12"/>
        <v/>
      </c>
    </row>
    <row r="585" spans="1:2" x14ac:dyDescent="0.25">
      <c r="A585" s="8"/>
      <c r="B585" s="8" t="str">
        <f t="shared" si="12"/>
        <v/>
      </c>
    </row>
    <row r="586" spans="1:2" x14ac:dyDescent="0.25">
      <c r="A586" s="8"/>
      <c r="B586" s="8" t="str">
        <f t="shared" si="12"/>
        <v/>
      </c>
    </row>
    <row r="587" spans="1:2" x14ac:dyDescent="0.25">
      <c r="A587" s="8"/>
      <c r="B587" s="8" t="str">
        <f t="shared" si="12"/>
        <v/>
      </c>
    </row>
    <row r="588" spans="1:2" x14ac:dyDescent="0.25">
      <c r="A588" s="8"/>
      <c r="B588" s="8" t="str">
        <f t="shared" si="12"/>
        <v/>
      </c>
    </row>
    <row r="589" spans="1:2" x14ac:dyDescent="0.25">
      <c r="A589" s="8"/>
      <c r="B589" s="8" t="str">
        <f t="shared" si="12"/>
        <v/>
      </c>
    </row>
    <row r="590" spans="1:2" x14ac:dyDescent="0.25">
      <c r="A590" s="8"/>
      <c r="B590" s="8" t="str">
        <f t="shared" si="12"/>
        <v/>
      </c>
    </row>
    <row r="591" spans="1:2" x14ac:dyDescent="0.25">
      <c r="A591" s="8"/>
      <c r="B591" s="8" t="str">
        <f t="shared" si="12"/>
        <v/>
      </c>
    </row>
    <row r="592" spans="1:2" x14ac:dyDescent="0.25">
      <c r="A592" s="8"/>
      <c r="B592" s="8" t="str">
        <f t="shared" si="12"/>
        <v/>
      </c>
    </row>
    <row r="593" spans="1:2" x14ac:dyDescent="0.25">
      <c r="A593" s="8"/>
      <c r="B593" s="8" t="str">
        <f t="shared" si="12"/>
        <v/>
      </c>
    </row>
    <row r="594" spans="1:2" x14ac:dyDescent="0.25">
      <c r="A594" s="8"/>
      <c r="B594" s="8" t="str">
        <f t="shared" si="12"/>
        <v/>
      </c>
    </row>
    <row r="595" spans="1:2" x14ac:dyDescent="0.25">
      <c r="A595" s="8"/>
      <c r="B595" s="8" t="str">
        <f t="shared" si="12"/>
        <v/>
      </c>
    </row>
    <row r="596" spans="1:2" x14ac:dyDescent="0.25">
      <c r="A596" s="8"/>
      <c r="B596" s="8" t="str">
        <f t="shared" si="12"/>
        <v/>
      </c>
    </row>
    <row r="597" spans="1:2" x14ac:dyDescent="0.25">
      <c r="A597" s="8"/>
      <c r="B597" s="8" t="str">
        <f t="shared" si="12"/>
        <v/>
      </c>
    </row>
    <row r="598" spans="1:2" x14ac:dyDescent="0.25">
      <c r="A598" s="8"/>
      <c r="B598" s="8" t="str">
        <f t="shared" si="12"/>
        <v/>
      </c>
    </row>
    <row r="599" spans="1:2" x14ac:dyDescent="0.25">
      <c r="A599" s="8"/>
      <c r="B599" s="8" t="str">
        <f t="shared" si="12"/>
        <v/>
      </c>
    </row>
    <row r="600" spans="1:2" x14ac:dyDescent="0.25">
      <c r="A600" s="8"/>
      <c r="B600" s="8" t="str">
        <f t="shared" si="12"/>
        <v/>
      </c>
    </row>
    <row r="601" spans="1:2" x14ac:dyDescent="0.25">
      <c r="A601" s="8"/>
      <c r="B601" s="8" t="str">
        <f t="shared" si="12"/>
        <v/>
      </c>
    </row>
    <row r="602" spans="1:2" x14ac:dyDescent="0.25">
      <c r="A602" s="8"/>
      <c r="B602" s="8" t="str">
        <f t="shared" si="12"/>
        <v/>
      </c>
    </row>
    <row r="603" spans="1:2" x14ac:dyDescent="0.25">
      <c r="A603" s="8"/>
      <c r="B603" s="8" t="str">
        <f t="shared" si="12"/>
        <v/>
      </c>
    </row>
    <row r="604" spans="1:2" x14ac:dyDescent="0.25">
      <c r="A604" s="8"/>
      <c r="B604" s="8" t="str">
        <f t="shared" si="12"/>
        <v/>
      </c>
    </row>
    <row r="605" spans="1:2" x14ac:dyDescent="0.25">
      <c r="A605" s="8"/>
      <c r="B605" s="8" t="str">
        <f t="shared" si="12"/>
        <v/>
      </c>
    </row>
    <row r="606" spans="1:2" x14ac:dyDescent="0.25">
      <c r="A606" s="8"/>
      <c r="B606" s="8" t="str">
        <f t="shared" si="12"/>
        <v/>
      </c>
    </row>
    <row r="607" spans="1:2" x14ac:dyDescent="0.25">
      <c r="A607" s="8"/>
      <c r="B607" s="8" t="str">
        <f t="shared" si="12"/>
        <v/>
      </c>
    </row>
    <row r="608" spans="1:2" x14ac:dyDescent="0.25">
      <c r="A608" s="8"/>
      <c r="B608" s="8" t="str">
        <f t="shared" si="12"/>
        <v/>
      </c>
    </row>
    <row r="609" spans="1:2" x14ac:dyDescent="0.25">
      <c r="A609" s="8"/>
      <c r="B609" s="8" t="str">
        <f t="shared" si="12"/>
        <v/>
      </c>
    </row>
    <row r="610" spans="1:2" x14ac:dyDescent="0.25">
      <c r="A610" s="8"/>
      <c r="B610" s="8" t="str">
        <f t="shared" si="12"/>
        <v/>
      </c>
    </row>
    <row r="611" spans="1:2" x14ac:dyDescent="0.25">
      <c r="A611" s="8"/>
      <c r="B611" s="8" t="str">
        <f t="shared" si="12"/>
        <v/>
      </c>
    </row>
    <row r="612" spans="1:2" x14ac:dyDescent="0.25">
      <c r="A612" s="8"/>
      <c r="B612" s="8" t="str">
        <f t="shared" si="12"/>
        <v/>
      </c>
    </row>
    <row r="613" spans="1:2" x14ac:dyDescent="0.25">
      <c r="A613" s="8"/>
      <c r="B613" s="8" t="str">
        <f t="shared" si="12"/>
        <v/>
      </c>
    </row>
    <row r="614" spans="1:2" x14ac:dyDescent="0.25">
      <c r="A614" s="8"/>
      <c r="B614" s="8" t="str">
        <f t="shared" si="12"/>
        <v/>
      </c>
    </row>
    <row r="615" spans="1:2" x14ac:dyDescent="0.25">
      <c r="A615" s="8"/>
      <c r="B615" s="8" t="str">
        <f t="shared" si="12"/>
        <v/>
      </c>
    </row>
    <row r="616" spans="1:2" x14ac:dyDescent="0.25">
      <c r="A616" s="8"/>
      <c r="B616" s="8" t="str">
        <f t="shared" si="12"/>
        <v/>
      </c>
    </row>
    <row r="617" spans="1:2" x14ac:dyDescent="0.25">
      <c r="A617" s="8"/>
      <c r="B617" s="8" t="str">
        <f t="shared" si="12"/>
        <v/>
      </c>
    </row>
    <row r="618" spans="1:2" x14ac:dyDescent="0.25">
      <c r="A618" s="8"/>
      <c r="B618" s="8" t="str">
        <f t="shared" si="12"/>
        <v/>
      </c>
    </row>
    <row r="619" spans="1:2" x14ac:dyDescent="0.25">
      <c r="A619" s="8"/>
      <c r="B619" s="8" t="str">
        <f t="shared" si="12"/>
        <v/>
      </c>
    </row>
    <row r="620" spans="1:2" x14ac:dyDescent="0.25">
      <c r="A620" s="8"/>
      <c r="B620" s="8" t="str">
        <f t="shared" si="12"/>
        <v/>
      </c>
    </row>
    <row r="621" spans="1:2" x14ac:dyDescent="0.25">
      <c r="A621" s="8"/>
      <c r="B621" s="8" t="str">
        <f t="shared" si="12"/>
        <v/>
      </c>
    </row>
    <row r="622" spans="1:2" x14ac:dyDescent="0.25">
      <c r="A622" s="8"/>
      <c r="B622" s="8" t="str">
        <f t="shared" si="12"/>
        <v/>
      </c>
    </row>
    <row r="623" spans="1:2" x14ac:dyDescent="0.25">
      <c r="A623" s="8"/>
      <c r="B623" s="8" t="str">
        <f t="shared" si="12"/>
        <v/>
      </c>
    </row>
    <row r="624" spans="1:2" x14ac:dyDescent="0.25">
      <c r="A624" s="8"/>
      <c r="B624" s="8" t="str">
        <f t="shared" si="12"/>
        <v/>
      </c>
    </row>
    <row r="625" spans="1:2" x14ac:dyDescent="0.25">
      <c r="A625" s="8"/>
      <c r="B625" s="8" t="str">
        <f t="shared" si="12"/>
        <v/>
      </c>
    </row>
    <row r="626" spans="1:2" x14ac:dyDescent="0.25">
      <c r="A626" s="8"/>
      <c r="B626" s="8" t="str">
        <f t="shared" si="12"/>
        <v/>
      </c>
    </row>
    <row r="627" spans="1:2" x14ac:dyDescent="0.25">
      <c r="A627" s="8"/>
      <c r="B627" s="8" t="str">
        <f t="shared" si="12"/>
        <v/>
      </c>
    </row>
    <row r="628" spans="1:2" x14ac:dyDescent="0.25">
      <c r="A628" s="8"/>
      <c r="B628" s="8" t="str">
        <f t="shared" si="12"/>
        <v/>
      </c>
    </row>
    <row r="629" spans="1:2" x14ac:dyDescent="0.25">
      <c r="A629" s="8"/>
      <c r="B629" s="8" t="str">
        <f t="shared" si="12"/>
        <v/>
      </c>
    </row>
    <row r="630" spans="1:2" x14ac:dyDescent="0.25">
      <c r="A630" s="8"/>
      <c r="B630" s="8" t="str">
        <f t="shared" si="12"/>
        <v/>
      </c>
    </row>
    <row r="631" spans="1:2" x14ac:dyDescent="0.25">
      <c r="A631" s="8"/>
      <c r="B631" s="8" t="str">
        <f t="shared" si="12"/>
        <v/>
      </c>
    </row>
    <row r="632" spans="1:2" x14ac:dyDescent="0.25">
      <c r="A632" s="8"/>
      <c r="B632" s="8" t="str">
        <f t="shared" si="12"/>
        <v/>
      </c>
    </row>
    <row r="633" spans="1:2" x14ac:dyDescent="0.25">
      <c r="A633" s="8"/>
      <c r="B633" s="8" t="str">
        <f t="shared" si="12"/>
        <v/>
      </c>
    </row>
    <row r="634" spans="1:2" x14ac:dyDescent="0.25">
      <c r="A634" s="8"/>
      <c r="B634" s="8" t="str">
        <f t="shared" si="12"/>
        <v/>
      </c>
    </row>
    <row r="635" spans="1:2" x14ac:dyDescent="0.25">
      <c r="A635" s="8"/>
      <c r="B635" s="8" t="str">
        <f t="shared" si="12"/>
        <v/>
      </c>
    </row>
    <row r="636" spans="1:2" x14ac:dyDescent="0.25">
      <c r="A636" s="8"/>
      <c r="B636" s="8" t="str">
        <f t="shared" si="12"/>
        <v/>
      </c>
    </row>
    <row r="637" spans="1:2" x14ac:dyDescent="0.25">
      <c r="A637" s="8"/>
      <c r="B637" s="8" t="str">
        <f t="shared" si="12"/>
        <v/>
      </c>
    </row>
    <row r="638" spans="1:2" x14ac:dyDescent="0.25">
      <c r="A638" s="8"/>
      <c r="B638" s="8" t="str">
        <f t="shared" si="12"/>
        <v/>
      </c>
    </row>
    <row r="639" spans="1:2" x14ac:dyDescent="0.25">
      <c r="A639" s="8"/>
      <c r="B639" s="8" t="str">
        <f t="shared" si="12"/>
        <v/>
      </c>
    </row>
    <row r="640" spans="1:2" x14ac:dyDescent="0.25">
      <c r="A640" s="8"/>
      <c r="B640" s="8" t="str">
        <f t="shared" si="12"/>
        <v/>
      </c>
    </row>
    <row r="641" spans="1:2" x14ac:dyDescent="0.25">
      <c r="A641" s="8"/>
      <c r="B641" s="8" t="str">
        <f t="shared" si="12"/>
        <v/>
      </c>
    </row>
    <row r="642" spans="1:2" x14ac:dyDescent="0.25">
      <c r="A642" s="8"/>
      <c r="B642" s="8" t="str">
        <f t="shared" si="12"/>
        <v/>
      </c>
    </row>
    <row r="643" spans="1:2" x14ac:dyDescent="0.25">
      <c r="A643" s="8"/>
      <c r="B643" s="8" t="str">
        <f t="shared" si="12"/>
        <v/>
      </c>
    </row>
    <row r="644" spans="1:2" x14ac:dyDescent="0.25">
      <c r="A644" s="8"/>
      <c r="B644" s="8" t="str">
        <f t="shared" ref="B644:B707" si="13">IF(A644=0,"",41824+(ROUNDUP(DAYS360(41824,A644)/7,0)*7))</f>
        <v/>
      </c>
    </row>
    <row r="645" spans="1:2" x14ac:dyDescent="0.25">
      <c r="A645" s="8"/>
      <c r="B645" s="8" t="str">
        <f t="shared" si="13"/>
        <v/>
      </c>
    </row>
    <row r="646" spans="1:2" x14ac:dyDescent="0.25">
      <c r="A646" s="8"/>
      <c r="B646" s="8" t="str">
        <f t="shared" si="13"/>
        <v/>
      </c>
    </row>
    <row r="647" spans="1:2" x14ac:dyDescent="0.25">
      <c r="A647" s="8"/>
      <c r="B647" s="8" t="str">
        <f t="shared" si="13"/>
        <v/>
      </c>
    </row>
    <row r="648" spans="1:2" x14ac:dyDescent="0.25">
      <c r="A648" s="8"/>
      <c r="B648" s="8" t="str">
        <f t="shared" si="13"/>
        <v/>
      </c>
    </row>
    <row r="649" spans="1:2" x14ac:dyDescent="0.25">
      <c r="A649" s="8"/>
      <c r="B649" s="8" t="str">
        <f t="shared" si="13"/>
        <v/>
      </c>
    </row>
    <row r="650" spans="1:2" x14ac:dyDescent="0.25">
      <c r="A650" s="8"/>
      <c r="B650" s="8" t="str">
        <f t="shared" si="13"/>
        <v/>
      </c>
    </row>
    <row r="651" spans="1:2" x14ac:dyDescent="0.25">
      <c r="A651" s="8"/>
      <c r="B651" s="8" t="str">
        <f t="shared" si="13"/>
        <v/>
      </c>
    </row>
    <row r="652" spans="1:2" x14ac:dyDescent="0.25">
      <c r="A652" s="8"/>
      <c r="B652" s="8" t="str">
        <f t="shared" si="13"/>
        <v/>
      </c>
    </row>
    <row r="653" spans="1:2" x14ac:dyDescent="0.25">
      <c r="A653" s="8"/>
      <c r="B653" s="8" t="str">
        <f t="shared" si="13"/>
        <v/>
      </c>
    </row>
    <row r="654" spans="1:2" x14ac:dyDescent="0.25">
      <c r="A654" s="8"/>
      <c r="B654" s="8" t="str">
        <f t="shared" si="13"/>
        <v/>
      </c>
    </row>
    <row r="655" spans="1:2" x14ac:dyDescent="0.25">
      <c r="A655" s="8"/>
      <c r="B655" s="8" t="str">
        <f t="shared" si="13"/>
        <v/>
      </c>
    </row>
    <row r="656" spans="1:2" x14ac:dyDescent="0.25">
      <c r="A656" s="8"/>
      <c r="B656" s="8" t="str">
        <f t="shared" si="13"/>
        <v/>
      </c>
    </row>
    <row r="657" spans="1:2" x14ac:dyDescent="0.25">
      <c r="A657" s="8"/>
      <c r="B657" s="8" t="str">
        <f t="shared" si="13"/>
        <v/>
      </c>
    </row>
    <row r="658" spans="1:2" x14ac:dyDescent="0.25">
      <c r="A658" s="8"/>
      <c r="B658" s="8" t="str">
        <f t="shared" si="13"/>
        <v/>
      </c>
    </row>
    <row r="659" spans="1:2" x14ac:dyDescent="0.25">
      <c r="A659" s="8"/>
      <c r="B659" s="8" t="str">
        <f t="shared" si="13"/>
        <v/>
      </c>
    </row>
    <row r="660" spans="1:2" x14ac:dyDescent="0.25">
      <c r="A660" s="8"/>
      <c r="B660" s="8" t="str">
        <f t="shared" si="13"/>
        <v/>
      </c>
    </row>
    <row r="661" spans="1:2" x14ac:dyDescent="0.25">
      <c r="A661" s="8"/>
      <c r="B661" s="8" t="str">
        <f t="shared" si="13"/>
        <v/>
      </c>
    </row>
    <row r="662" spans="1:2" x14ac:dyDescent="0.25">
      <c r="A662" s="8"/>
      <c r="B662" s="8" t="str">
        <f t="shared" si="13"/>
        <v/>
      </c>
    </row>
    <row r="663" spans="1:2" x14ac:dyDescent="0.25">
      <c r="A663" s="8"/>
      <c r="B663" s="8" t="str">
        <f t="shared" si="13"/>
        <v/>
      </c>
    </row>
    <row r="664" spans="1:2" x14ac:dyDescent="0.25">
      <c r="A664" s="8"/>
      <c r="B664" s="8" t="str">
        <f t="shared" si="13"/>
        <v/>
      </c>
    </row>
    <row r="665" spans="1:2" x14ac:dyDescent="0.25">
      <c r="A665" s="8"/>
      <c r="B665" s="8" t="str">
        <f t="shared" si="13"/>
        <v/>
      </c>
    </row>
    <row r="666" spans="1:2" x14ac:dyDescent="0.25">
      <c r="A666" s="8"/>
      <c r="B666" s="8" t="str">
        <f t="shared" si="13"/>
        <v/>
      </c>
    </row>
    <row r="667" spans="1:2" x14ac:dyDescent="0.25">
      <c r="A667" s="8"/>
      <c r="B667" s="8" t="str">
        <f t="shared" si="13"/>
        <v/>
      </c>
    </row>
    <row r="668" spans="1:2" x14ac:dyDescent="0.25">
      <c r="A668" s="8"/>
      <c r="B668" s="8" t="str">
        <f t="shared" si="13"/>
        <v/>
      </c>
    </row>
    <row r="669" spans="1:2" x14ac:dyDescent="0.25">
      <c r="A669" s="8"/>
      <c r="B669" s="8" t="str">
        <f t="shared" si="13"/>
        <v/>
      </c>
    </row>
    <row r="670" spans="1:2" x14ac:dyDescent="0.25">
      <c r="A670" s="8"/>
      <c r="B670" s="8" t="str">
        <f t="shared" si="13"/>
        <v/>
      </c>
    </row>
    <row r="671" spans="1:2" x14ac:dyDescent="0.25">
      <c r="A671" s="8"/>
      <c r="B671" s="8" t="str">
        <f t="shared" si="13"/>
        <v/>
      </c>
    </row>
    <row r="672" spans="1:2" x14ac:dyDescent="0.25">
      <c r="A672" s="8"/>
      <c r="B672" s="8" t="str">
        <f t="shared" si="13"/>
        <v/>
      </c>
    </row>
    <row r="673" spans="1:2" x14ac:dyDescent="0.25">
      <c r="A673" s="8"/>
      <c r="B673" s="8" t="str">
        <f t="shared" si="13"/>
        <v/>
      </c>
    </row>
    <row r="674" spans="1:2" x14ac:dyDescent="0.25">
      <c r="A674" s="8"/>
      <c r="B674" s="8" t="str">
        <f t="shared" si="13"/>
        <v/>
      </c>
    </row>
    <row r="675" spans="1:2" x14ac:dyDescent="0.25">
      <c r="A675" s="8"/>
      <c r="B675" s="8" t="str">
        <f t="shared" si="13"/>
        <v/>
      </c>
    </row>
    <row r="676" spans="1:2" x14ac:dyDescent="0.25">
      <c r="A676" s="8"/>
      <c r="B676" s="8" t="str">
        <f t="shared" si="13"/>
        <v/>
      </c>
    </row>
    <row r="677" spans="1:2" x14ac:dyDescent="0.25">
      <c r="A677" s="8"/>
      <c r="B677" s="8" t="str">
        <f t="shared" si="13"/>
        <v/>
      </c>
    </row>
    <row r="678" spans="1:2" x14ac:dyDescent="0.25">
      <c r="A678" s="8"/>
      <c r="B678" s="8" t="str">
        <f t="shared" si="13"/>
        <v/>
      </c>
    </row>
    <row r="679" spans="1:2" x14ac:dyDescent="0.25">
      <c r="A679" s="8"/>
      <c r="B679" s="8" t="str">
        <f t="shared" si="13"/>
        <v/>
      </c>
    </row>
    <row r="680" spans="1:2" x14ac:dyDescent="0.25">
      <c r="A680" s="8"/>
      <c r="B680" s="8" t="str">
        <f t="shared" si="13"/>
        <v/>
      </c>
    </row>
    <row r="681" spans="1:2" x14ac:dyDescent="0.25">
      <c r="A681" s="8"/>
      <c r="B681" s="8" t="str">
        <f t="shared" si="13"/>
        <v/>
      </c>
    </row>
    <row r="682" spans="1:2" x14ac:dyDescent="0.25">
      <c r="A682" s="8"/>
      <c r="B682" s="8" t="str">
        <f t="shared" si="13"/>
        <v/>
      </c>
    </row>
    <row r="683" spans="1:2" x14ac:dyDescent="0.25">
      <c r="A683" s="8"/>
      <c r="B683" s="8" t="str">
        <f t="shared" si="13"/>
        <v/>
      </c>
    </row>
    <row r="684" spans="1:2" x14ac:dyDescent="0.25">
      <c r="A684" s="8"/>
      <c r="B684" s="8" t="str">
        <f t="shared" si="13"/>
        <v/>
      </c>
    </row>
    <row r="685" spans="1:2" x14ac:dyDescent="0.25">
      <c r="A685" s="8"/>
      <c r="B685" s="8" t="str">
        <f t="shared" si="13"/>
        <v/>
      </c>
    </row>
    <row r="686" spans="1:2" x14ac:dyDescent="0.25">
      <c r="A686" s="8"/>
      <c r="B686" s="8" t="str">
        <f t="shared" si="13"/>
        <v/>
      </c>
    </row>
    <row r="687" spans="1:2" x14ac:dyDescent="0.25">
      <c r="A687" s="8"/>
      <c r="B687" s="8" t="str">
        <f t="shared" si="13"/>
        <v/>
      </c>
    </row>
    <row r="688" spans="1:2" x14ac:dyDescent="0.25">
      <c r="A688" s="8"/>
      <c r="B688" s="8" t="str">
        <f t="shared" si="13"/>
        <v/>
      </c>
    </row>
    <row r="689" spans="1:2" x14ac:dyDescent="0.25">
      <c r="A689" s="8"/>
      <c r="B689" s="8" t="str">
        <f t="shared" si="13"/>
        <v/>
      </c>
    </row>
    <row r="690" spans="1:2" x14ac:dyDescent="0.25">
      <c r="A690" s="8"/>
      <c r="B690" s="8" t="str">
        <f t="shared" si="13"/>
        <v/>
      </c>
    </row>
    <row r="691" spans="1:2" x14ac:dyDescent="0.25">
      <c r="A691" s="8"/>
      <c r="B691" s="8" t="str">
        <f t="shared" si="13"/>
        <v/>
      </c>
    </row>
    <row r="692" spans="1:2" x14ac:dyDescent="0.25">
      <c r="A692" s="8"/>
      <c r="B692" s="8" t="str">
        <f t="shared" si="13"/>
        <v/>
      </c>
    </row>
    <row r="693" spans="1:2" x14ac:dyDescent="0.25">
      <c r="A693" s="8"/>
      <c r="B693" s="8" t="str">
        <f t="shared" si="13"/>
        <v/>
      </c>
    </row>
    <row r="694" spans="1:2" x14ac:dyDescent="0.25">
      <c r="A694" s="8"/>
      <c r="B694" s="8" t="str">
        <f t="shared" si="13"/>
        <v/>
      </c>
    </row>
    <row r="695" spans="1:2" x14ac:dyDescent="0.25">
      <c r="A695" s="8"/>
      <c r="B695" s="8" t="str">
        <f t="shared" si="13"/>
        <v/>
      </c>
    </row>
    <row r="696" spans="1:2" x14ac:dyDescent="0.25">
      <c r="A696" s="8"/>
      <c r="B696" s="8" t="str">
        <f t="shared" si="13"/>
        <v/>
      </c>
    </row>
    <row r="697" spans="1:2" x14ac:dyDescent="0.25">
      <c r="A697" s="8"/>
      <c r="B697" s="8" t="str">
        <f t="shared" si="13"/>
        <v/>
      </c>
    </row>
    <row r="698" spans="1:2" x14ac:dyDescent="0.25">
      <c r="A698" s="8"/>
      <c r="B698" s="8" t="str">
        <f t="shared" si="13"/>
        <v/>
      </c>
    </row>
    <row r="699" spans="1:2" x14ac:dyDescent="0.25">
      <c r="A699" s="8"/>
      <c r="B699" s="8" t="str">
        <f t="shared" si="13"/>
        <v/>
      </c>
    </row>
    <row r="700" spans="1:2" x14ac:dyDescent="0.25">
      <c r="A700" s="8"/>
      <c r="B700" s="8" t="str">
        <f t="shared" si="13"/>
        <v/>
      </c>
    </row>
    <row r="701" spans="1:2" x14ac:dyDescent="0.25">
      <c r="A701" s="8"/>
      <c r="B701" s="8" t="str">
        <f t="shared" si="13"/>
        <v/>
      </c>
    </row>
    <row r="702" spans="1:2" x14ac:dyDescent="0.25">
      <c r="A702" s="8"/>
      <c r="B702" s="8" t="str">
        <f t="shared" si="13"/>
        <v/>
      </c>
    </row>
    <row r="703" spans="1:2" x14ac:dyDescent="0.25">
      <c r="A703" s="8"/>
      <c r="B703" s="8" t="str">
        <f t="shared" si="13"/>
        <v/>
      </c>
    </row>
    <row r="704" spans="1:2" x14ac:dyDescent="0.25">
      <c r="A704" s="8"/>
      <c r="B704" s="8" t="str">
        <f t="shared" si="13"/>
        <v/>
      </c>
    </row>
    <row r="705" spans="1:2" x14ac:dyDescent="0.25">
      <c r="A705" s="8"/>
      <c r="B705" s="8" t="str">
        <f t="shared" si="13"/>
        <v/>
      </c>
    </row>
    <row r="706" spans="1:2" x14ac:dyDescent="0.25">
      <c r="A706" s="8"/>
      <c r="B706" s="8" t="str">
        <f t="shared" si="13"/>
        <v/>
      </c>
    </row>
    <row r="707" spans="1:2" x14ac:dyDescent="0.25">
      <c r="A707" s="8"/>
      <c r="B707" s="8" t="str">
        <f t="shared" si="13"/>
        <v/>
      </c>
    </row>
    <row r="708" spans="1:2" x14ac:dyDescent="0.25">
      <c r="A708" s="8"/>
      <c r="B708" s="8" t="str">
        <f t="shared" ref="B708:B771" si="14">IF(A708=0,"",41824+(ROUNDUP(DAYS360(41824,A708)/7,0)*7))</f>
        <v/>
      </c>
    </row>
    <row r="709" spans="1:2" x14ac:dyDescent="0.25">
      <c r="A709" s="8"/>
      <c r="B709" s="8" t="str">
        <f t="shared" si="14"/>
        <v/>
      </c>
    </row>
    <row r="710" spans="1:2" x14ac:dyDescent="0.25">
      <c r="A710" s="8"/>
      <c r="B710" s="8" t="str">
        <f t="shared" si="14"/>
        <v/>
      </c>
    </row>
    <row r="711" spans="1:2" x14ac:dyDescent="0.25">
      <c r="A711" s="8"/>
      <c r="B711" s="8" t="str">
        <f t="shared" si="14"/>
        <v/>
      </c>
    </row>
    <row r="712" spans="1:2" x14ac:dyDescent="0.25">
      <c r="A712" s="8"/>
      <c r="B712" s="8" t="str">
        <f t="shared" si="14"/>
        <v/>
      </c>
    </row>
    <row r="713" spans="1:2" x14ac:dyDescent="0.25">
      <c r="A713" s="8"/>
      <c r="B713" s="8" t="str">
        <f t="shared" si="14"/>
        <v/>
      </c>
    </row>
    <row r="714" spans="1:2" x14ac:dyDescent="0.25">
      <c r="A714" s="8"/>
      <c r="B714" s="8" t="str">
        <f t="shared" si="14"/>
        <v/>
      </c>
    </row>
    <row r="715" spans="1:2" x14ac:dyDescent="0.25">
      <c r="A715" s="8"/>
      <c r="B715" s="8" t="str">
        <f t="shared" si="14"/>
        <v/>
      </c>
    </row>
    <row r="716" spans="1:2" x14ac:dyDescent="0.25">
      <c r="A716" s="8"/>
      <c r="B716" s="8" t="str">
        <f t="shared" si="14"/>
        <v/>
      </c>
    </row>
    <row r="717" spans="1:2" x14ac:dyDescent="0.25">
      <c r="A717" s="8"/>
      <c r="B717" s="8" t="str">
        <f t="shared" si="14"/>
        <v/>
      </c>
    </row>
    <row r="718" spans="1:2" x14ac:dyDescent="0.25">
      <c r="A718" s="8"/>
      <c r="B718" s="8" t="str">
        <f t="shared" si="14"/>
        <v/>
      </c>
    </row>
    <row r="719" spans="1:2" x14ac:dyDescent="0.25">
      <c r="A719" s="8"/>
      <c r="B719" s="8" t="str">
        <f t="shared" si="14"/>
        <v/>
      </c>
    </row>
    <row r="720" spans="1:2" x14ac:dyDescent="0.25">
      <c r="A720" s="8"/>
      <c r="B720" s="8" t="str">
        <f t="shared" si="14"/>
        <v/>
      </c>
    </row>
    <row r="721" spans="1:2" x14ac:dyDescent="0.25">
      <c r="A721" s="8"/>
      <c r="B721" s="8" t="str">
        <f t="shared" si="14"/>
        <v/>
      </c>
    </row>
    <row r="722" spans="1:2" x14ac:dyDescent="0.25">
      <c r="A722" s="8"/>
      <c r="B722" s="8" t="str">
        <f t="shared" si="14"/>
        <v/>
      </c>
    </row>
    <row r="723" spans="1:2" x14ac:dyDescent="0.25">
      <c r="A723" s="8"/>
      <c r="B723" s="8" t="str">
        <f t="shared" si="14"/>
        <v/>
      </c>
    </row>
    <row r="724" spans="1:2" x14ac:dyDescent="0.25">
      <c r="A724" s="8"/>
      <c r="B724" s="8" t="str">
        <f t="shared" si="14"/>
        <v/>
      </c>
    </row>
    <row r="725" spans="1:2" x14ac:dyDescent="0.25">
      <c r="A725" s="8"/>
      <c r="B725" s="8" t="str">
        <f t="shared" si="14"/>
        <v/>
      </c>
    </row>
    <row r="726" spans="1:2" x14ac:dyDescent="0.25">
      <c r="A726" s="8"/>
      <c r="B726" s="8" t="str">
        <f t="shared" si="14"/>
        <v/>
      </c>
    </row>
    <row r="727" spans="1:2" x14ac:dyDescent="0.25">
      <c r="A727" s="8"/>
      <c r="B727" s="8" t="str">
        <f t="shared" si="14"/>
        <v/>
      </c>
    </row>
    <row r="728" spans="1:2" x14ac:dyDescent="0.25">
      <c r="A728" s="8"/>
      <c r="B728" s="8" t="str">
        <f t="shared" si="14"/>
        <v/>
      </c>
    </row>
    <row r="729" spans="1:2" x14ac:dyDescent="0.25">
      <c r="A729" s="8"/>
      <c r="B729" s="8" t="str">
        <f t="shared" si="14"/>
        <v/>
      </c>
    </row>
    <row r="730" spans="1:2" x14ac:dyDescent="0.25">
      <c r="A730" s="8"/>
      <c r="B730" s="8" t="str">
        <f t="shared" si="14"/>
        <v/>
      </c>
    </row>
    <row r="731" spans="1:2" x14ac:dyDescent="0.25">
      <c r="A731" s="8"/>
      <c r="B731" s="8" t="str">
        <f t="shared" si="14"/>
        <v/>
      </c>
    </row>
    <row r="732" spans="1:2" x14ac:dyDescent="0.25">
      <c r="A732" s="8"/>
      <c r="B732" s="8" t="str">
        <f t="shared" si="14"/>
        <v/>
      </c>
    </row>
    <row r="733" spans="1:2" x14ac:dyDescent="0.25">
      <c r="A733" s="8"/>
      <c r="B733" s="8" t="str">
        <f t="shared" si="14"/>
        <v/>
      </c>
    </row>
    <row r="734" spans="1:2" x14ac:dyDescent="0.25">
      <c r="A734" s="8"/>
      <c r="B734" s="8" t="str">
        <f t="shared" si="14"/>
        <v/>
      </c>
    </row>
    <row r="735" spans="1:2" x14ac:dyDescent="0.25">
      <c r="A735" s="8"/>
      <c r="B735" s="8" t="str">
        <f t="shared" si="14"/>
        <v/>
      </c>
    </row>
    <row r="736" spans="1:2" x14ac:dyDescent="0.25">
      <c r="A736" s="8"/>
      <c r="B736" s="8" t="str">
        <f t="shared" si="14"/>
        <v/>
      </c>
    </row>
    <row r="737" spans="1:2" x14ac:dyDescent="0.25">
      <c r="A737" s="8"/>
      <c r="B737" s="8" t="str">
        <f t="shared" si="14"/>
        <v/>
      </c>
    </row>
    <row r="738" spans="1:2" x14ac:dyDescent="0.25">
      <c r="A738" s="8"/>
      <c r="B738" s="8" t="str">
        <f t="shared" si="14"/>
        <v/>
      </c>
    </row>
    <row r="739" spans="1:2" x14ac:dyDescent="0.25">
      <c r="A739" s="8"/>
      <c r="B739" s="8" t="str">
        <f t="shared" si="14"/>
        <v/>
      </c>
    </row>
    <row r="740" spans="1:2" x14ac:dyDescent="0.25">
      <c r="A740" s="8"/>
      <c r="B740" s="8" t="str">
        <f t="shared" si="14"/>
        <v/>
      </c>
    </row>
    <row r="741" spans="1:2" x14ac:dyDescent="0.25">
      <c r="A741" s="8"/>
      <c r="B741" s="8" t="str">
        <f t="shared" si="14"/>
        <v/>
      </c>
    </row>
    <row r="742" spans="1:2" x14ac:dyDescent="0.25">
      <c r="A742" s="8"/>
      <c r="B742" s="8" t="str">
        <f t="shared" si="14"/>
        <v/>
      </c>
    </row>
    <row r="743" spans="1:2" x14ac:dyDescent="0.25">
      <c r="A743" s="8"/>
      <c r="B743" s="8" t="str">
        <f t="shared" si="14"/>
        <v/>
      </c>
    </row>
    <row r="744" spans="1:2" x14ac:dyDescent="0.25">
      <c r="A744" s="8"/>
      <c r="B744" s="8" t="str">
        <f t="shared" si="14"/>
        <v/>
      </c>
    </row>
    <row r="745" spans="1:2" x14ac:dyDescent="0.25">
      <c r="A745" s="8"/>
      <c r="B745" s="8" t="str">
        <f t="shared" si="14"/>
        <v/>
      </c>
    </row>
    <row r="746" spans="1:2" x14ac:dyDescent="0.25">
      <c r="A746" s="8"/>
      <c r="B746" s="8" t="str">
        <f t="shared" si="14"/>
        <v/>
      </c>
    </row>
    <row r="747" spans="1:2" x14ac:dyDescent="0.25">
      <c r="A747" s="8"/>
      <c r="B747" s="8" t="str">
        <f t="shared" si="14"/>
        <v/>
      </c>
    </row>
    <row r="748" spans="1:2" x14ac:dyDescent="0.25">
      <c r="A748" s="8"/>
      <c r="B748" s="8" t="str">
        <f t="shared" si="14"/>
        <v/>
      </c>
    </row>
    <row r="749" spans="1:2" x14ac:dyDescent="0.25">
      <c r="A749" s="8"/>
      <c r="B749" s="8" t="str">
        <f t="shared" si="14"/>
        <v/>
      </c>
    </row>
    <row r="750" spans="1:2" x14ac:dyDescent="0.25">
      <c r="A750" s="8"/>
      <c r="B750" s="8" t="str">
        <f t="shared" si="14"/>
        <v/>
      </c>
    </row>
    <row r="751" spans="1:2" x14ac:dyDescent="0.25">
      <c r="A751" s="8"/>
      <c r="B751" s="8" t="str">
        <f t="shared" si="14"/>
        <v/>
      </c>
    </row>
    <row r="752" spans="1:2" x14ac:dyDescent="0.25">
      <c r="A752" s="8"/>
      <c r="B752" s="8" t="str">
        <f t="shared" si="14"/>
        <v/>
      </c>
    </row>
    <row r="753" spans="1:2" x14ac:dyDescent="0.25">
      <c r="A753" s="8"/>
      <c r="B753" s="8" t="str">
        <f t="shared" si="14"/>
        <v/>
      </c>
    </row>
    <row r="754" spans="1:2" x14ac:dyDescent="0.25">
      <c r="A754" s="8"/>
      <c r="B754" s="8" t="str">
        <f t="shared" si="14"/>
        <v/>
      </c>
    </row>
    <row r="755" spans="1:2" x14ac:dyDescent="0.25">
      <c r="A755" s="8"/>
      <c r="B755" s="8" t="str">
        <f t="shared" si="14"/>
        <v/>
      </c>
    </row>
    <row r="756" spans="1:2" x14ac:dyDescent="0.25">
      <c r="A756" s="8"/>
      <c r="B756" s="8" t="str">
        <f t="shared" si="14"/>
        <v/>
      </c>
    </row>
    <row r="757" spans="1:2" x14ac:dyDescent="0.25">
      <c r="A757" s="8"/>
      <c r="B757" s="8" t="str">
        <f t="shared" si="14"/>
        <v/>
      </c>
    </row>
    <row r="758" spans="1:2" x14ac:dyDescent="0.25">
      <c r="A758" s="8"/>
      <c r="B758" s="8" t="str">
        <f t="shared" si="14"/>
        <v/>
      </c>
    </row>
    <row r="759" spans="1:2" x14ac:dyDescent="0.25">
      <c r="A759" s="8"/>
      <c r="B759" s="8" t="str">
        <f t="shared" si="14"/>
        <v/>
      </c>
    </row>
    <row r="760" spans="1:2" x14ac:dyDescent="0.25">
      <c r="A760" s="8"/>
      <c r="B760" s="8" t="str">
        <f t="shared" si="14"/>
        <v/>
      </c>
    </row>
    <row r="761" spans="1:2" x14ac:dyDescent="0.25">
      <c r="A761" s="8"/>
      <c r="B761" s="8" t="str">
        <f t="shared" si="14"/>
        <v/>
      </c>
    </row>
    <row r="762" spans="1:2" x14ac:dyDescent="0.25">
      <c r="A762" s="8"/>
      <c r="B762" s="8" t="str">
        <f t="shared" si="14"/>
        <v/>
      </c>
    </row>
    <row r="763" spans="1:2" x14ac:dyDescent="0.25">
      <c r="A763" s="8"/>
      <c r="B763" s="8" t="str">
        <f t="shared" si="14"/>
        <v/>
      </c>
    </row>
    <row r="764" spans="1:2" x14ac:dyDescent="0.25">
      <c r="A764" s="8"/>
      <c r="B764" s="8" t="str">
        <f t="shared" si="14"/>
        <v/>
      </c>
    </row>
    <row r="765" spans="1:2" x14ac:dyDescent="0.25">
      <c r="A765" s="8"/>
      <c r="B765" s="8" t="str">
        <f t="shared" si="14"/>
        <v/>
      </c>
    </row>
    <row r="766" spans="1:2" x14ac:dyDescent="0.25">
      <c r="A766" s="8"/>
      <c r="B766" s="8" t="str">
        <f t="shared" si="14"/>
        <v/>
      </c>
    </row>
    <row r="767" spans="1:2" x14ac:dyDescent="0.25">
      <c r="A767" s="8"/>
      <c r="B767" s="8" t="str">
        <f t="shared" si="14"/>
        <v/>
      </c>
    </row>
    <row r="768" spans="1:2" x14ac:dyDescent="0.25">
      <c r="A768" s="8"/>
      <c r="B768" s="8" t="str">
        <f t="shared" si="14"/>
        <v/>
      </c>
    </row>
    <row r="769" spans="1:2" x14ac:dyDescent="0.25">
      <c r="A769" s="8"/>
      <c r="B769" s="8" t="str">
        <f t="shared" si="14"/>
        <v/>
      </c>
    </row>
    <row r="770" spans="1:2" x14ac:dyDescent="0.25">
      <c r="A770" s="8"/>
      <c r="B770" s="8" t="str">
        <f t="shared" si="14"/>
        <v/>
      </c>
    </row>
    <row r="771" spans="1:2" x14ac:dyDescent="0.25">
      <c r="A771" s="8"/>
      <c r="B771" s="8" t="str">
        <f t="shared" si="14"/>
        <v/>
      </c>
    </row>
    <row r="772" spans="1:2" x14ac:dyDescent="0.25">
      <c r="A772" s="8"/>
      <c r="B772" s="8" t="str">
        <f t="shared" ref="B772:B835" si="15">IF(A772=0,"",41824+(ROUNDUP(DAYS360(41824,A772)/7,0)*7))</f>
        <v/>
      </c>
    </row>
    <row r="773" spans="1:2" x14ac:dyDescent="0.25">
      <c r="A773" s="8"/>
      <c r="B773" s="8" t="str">
        <f t="shared" si="15"/>
        <v/>
      </c>
    </row>
    <row r="774" spans="1:2" x14ac:dyDescent="0.25">
      <c r="A774" s="8"/>
      <c r="B774" s="8" t="str">
        <f t="shared" si="15"/>
        <v/>
      </c>
    </row>
    <row r="775" spans="1:2" x14ac:dyDescent="0.25">
      <c r="A775" s="8"/>
      <c r="B775" s="8" t="str">
        <f t="shared" si="15"/>
        <v/>
      </c>
    </row>
    <row r="776" spans="1:2" x14ac:dyDescent="0.25">
      <c r="A776" s="8"/>
      <c r="B776" s="8" t="str">
        <f t="shared" si="15"/>
        <v/>
      </c>
    </row>
    <row r="777" spans="1:2" x14ac:dyDescent="0.25">
      <c r="A777" s="8"/>
      <c r="B777" s="8" t="str">
        <f t="shared" si="15"/>
        <v/>
      </c>
    </row>
    <row r="778" spans="1:2" x14ac:dyDescent="0.25">
      <c r="A778" s="8"/>
      <c r="B778" s="8" t="str">
        <f t="shared" si="15"/>
        <v/>
      </c>
    </row>
    <row r="779" spans="1:2" x14ac:dyDescent="0.25">
      <c r="A779" s="8"/>
      <c r="B779" s="8" t="str">
        <f t="shared" si="15"/>
        <v/>
      </c>
    </row>
    <row r="780" spans="1:2" x14ac:dyDescent="0.25">
      <c r="A780" s="8"/>
      <c r="B780" s="8" t="str">
        <f t="shared" si="15"/>
        <v/>
      </c>
    </row>
    <row r="781" spans="1:2" x14ac:dyDescent="0.25">
      <c r="A781" s="8"/>
      <c r="B781" s="8" t="str">
        <f t="shared" si="15"/>
        <v/>
      </c>
    </row>
    <row r="782" spans="1:2" x14ac:dyDescent="0.25">
      <c r="A782" s="8"/>
      <c r="B782" s="8" t="str">
        <f t="shared" si="15"/>
        <v/>
      </c>
    </row>
    <row r="783" spans="1:2" x14ac:dyDescent="0.25">
      <c r="A783" s="8"/>
      <c r="B783" s="8" t="str">
        <f t="shared" si="15"/>
        <v/>
      </c>
    </row>
    <row r="784" spans="1:2" x14ac:dyDescent="0.25">
      <c r="A784" s="8"/>
      <c r="B784" s="8" t="str">
        <f t="shared" si="15"/>
        <v/>
      </c>
    </row>
    <row r="785" spans="1:2" x14ac:dyDescent="0.25">
      <c r="A785" s="8"/>
      <c r="B785" s="8" t="str">
        <f t="shared" si="15"/>
        <v/>
      </c>
    </row>
    <row r="786" spans="1:2" x14ac:dyDescent="0.25">
      <c r="A786" s="8"/>
      <c r="B786" s="8" t="str">
        <f t="shared" si="15"/>
        <v/>
      </c>
    </row>
    <row r="787" spans="1:2" x14ac:dyDescent="0.25">
      <c r="A787" s="8"/>
      <c r="B787" s="8" t="str">
        <f t="shared" si="15"/>
        <v/>
      </c>
    </row>
    <row r="788" spans="1:2" x14ac:dyDescent="0.25">
      <c r="A788" s="8"/>
      <c r="B788" s="8" t="str">
        <f t="shared" si="15"/>
        <v/>
      </c>
    </row>
    <row r="789" spans="1:2" x14ac:dyDescent="0.25">
      <c r="A789" s="8"/>
      <c r="B789" s="8" t="str">
        <f t="shared" si="15"/>
        <v/>
      </c>
    </row>
    <row r="790" spans="1:2" x14ac:dyDescent="0.25">
      <c r="A790" s="8"/>
      <c r="B790" s="8" t="str">
        <f t="shared" si="15"/>
        <v/>
      </c>
    </row>
    <row r="791" spans="1:2" x14ac:dyDescent="0.25">
      <c r="A791" s="8"/>
      <c r="B791" s="8" t="str">
        <f t="shared" si="15"/>
        <v/>
      </c>
    </row>
    <row r="792" spans="1:2" x14ac:dyDescent="0.25">
      <c r="A792" s="8"/>
      <c r="B792" s="8" t="str">
        <f t="shared" si="15"/>
        <v/>
      </c>
    </row>
    <row r="793" spans="1:2" x14ac:dyDescent="0.25">
      <c r="A793" s="8"/>
      <c r="B793" s="8" t="str">
        <f t="shared" si="15"/>
        <v/>
      </c>
    </row>
    <row r="794" spans="1:2" x14ac:dyDescent="0.25">
      <c r="A794" s="8"/>
      <c r="B794" s="8" t="str">
        <f t="shared" si="15"/>
        <v/>
      </c>
    </row>
    <row r="795" spans="1:2" x14ac:dyDescent="0.25">
      <c r="A795" s="8"/>
      <c r="B795" s="8" t="str">
        <f t="shared" si="15"/>
        <v/>
      </c>
    </row>
    <row r="796" spans="1:2" x14ac:dyDescent="0.25">
      <c r="A796" s="8"/>
      <c r="B796" s="8" t="str">
        <f t="shared" si="15"/>
        <v/>
      </c>
    </row>
    <row r="797" spans="1:2" x14ac:dyDescent="0.25">
      <c r="A797" s="8"/>
      <c r="B797" s="8" t="str">
        <f t="shared" si="15"/>
        <v/>
      </c>
    </row>
    <row r="798" spans="1:2" x14ac:dyDescent="0.25">
      <c r="A798" s="8"/>
      <c r="B798" s="8" t="str">
        <f t="shared" si="15"/>
        <v/>
      </c>
    </row>
    <row r="799" spans="1:2" x14ac:dyDescent="0.25">
      <c r="A799" s="8"/>
      <c r="B799" s="8" t="str">
        <f t="shared" si="15"/>
        <v/>
      </c>
    </row>
    <row r="800" spans="1:2" x14ac:dyDescent="0.25">
      <c r="A800" s="8"/>
      <c r="B800" s="8" t="str">
        <f t="shared" si="15"/>
        <v/>
      </c>
    </row>
    <row r="801" spans="1:2" x14ac:dyDescent="0.25">
      <c r="A801" s="8"/>
      <c r="B801" s="8" t="str">
        <f t="shared" si="15"/>
        <v/>
      </c>
    </row>
    <row r="802" spans="1:2" x14ac:dyDescent="0.25">
      <c r="A802" s="8"/>
      <c r="B802" s="8" t="str">
        <f t="shared" si="15"/>
        <v/>
      </c>
    </row>
    <row r="803" spans="1:2" x14ac:dyDescent="0.25">
      <c r="A803" s="8"/>
      <c r="B803" s="8" t="str">
        <f t="shared" si="15"/>
        <v/>
      </c>
    </row>
    <row r="804" spans="1:2" x14ac:dyDescent="0.25">
      <c r="A804" s="8"/>
      <c r="B804" s="8" t="str">
        <f t="shared" si="15"/>
        <v/>
      </c>
    </row>
    <row r="805" spans="1:2" x14ac:dyDescent="0.25">
      <c r="A805" s="8"/>
      <c r="B805" s="8" t="str">
        <f t="shared" si="15"/>
        <v/>
      </c>
    </row>
    <row r="806" spans="1:2" x14ac:dyDescent="0.25">
      <c r="A806" s="8"/>
      <c r="B806" s="8" t="str">
        <f t="shared" si="15"/>
        <v/>
      </c>
    </row>
    <row r="807" spans="1:2" x14ac:dyDescent="0.25">
      <c r="A807" s="8"/>
      <c r="B807" s="8" t="str">
        <f t="shared" si="15"/>
        <v/>
      </c>
    </row>
    <row r="808" spans="1:2" x14ac:dyDescent="0.25">
      <c r="A808" s="8"/>
      <c r="B808" s="8" t="str">
        <f t="shared" si="15"/>
        <v/>
      </c>
    </row>
    <row r="809" spans="1:2" x14ac:dyDescent="0.25">
      <c r="A809" s="8"/>
      <c r="B809" s="8" t="str">
        <f t="shared" si="15"/>
        <v/>
      </c>
    </row>
    <row r="810" spans="1:2" x14ac:dyDescent="0.25">
      <c r="A810" s="8"/>
      <c r="B810" s="8" t="str">
        <f t="shared" si="15"/>
        <v/>
      </c>
    </row>
    <row r="811" spans="1:2" x14ac:dyDescent="0.25">
      <c r="A811" s="8"/>
      <c r="B811" s="8" t="str">
        <f t="shared" si="15"/>
        <v/>
      </c>
    </row>
    <row r="812" spans="1:2" x14ac:dyDescent="0.25">
      <c r="A812" s="8"/>
      <c r="B812" s="8" t="str">
        <f t="shared" si="15"/>
        <v/>
      </c>
    </row>
    <row r="813" spans="1:2" x14ac:dyDescent="0.25">
      <c r="A813" s="8"/>
      <c r="B813" s="8" t="str">
        <f t="shared" si="15"/>
        <v/>
      </c>
    </row>
    <row r="814" spans="1:2" x14ac:dyDescent="0.25">
      <c r="A814" s="8"/>
      <c r="B814" s="8" t="str">
        <f t="shared" si="15"/>
        <v/>
      </c>
    </row>
    <row r="815" spans="1:2" x14ac:dyDescent="0.25">
      <c r="A815" s="8"/>
      <c r="B815" s="8" t="str">
        <f t="shared" si="15"/>
        <v/>
      </c>
    </row>
    <row r="816" spans="1:2" x14ac:dyDescent="0.25">
      <c r="A816" s="8"/>
      <c r="B816" s="8" t="str">
        <f t="shared" si="15"/>
        <v/>
      </c>
    </row>
    <row r="817" spans="1:2" x14ac:dyDescent="0.25">
      <c r="A817" s="8"/>
      <c r="B817" s="8" t="str">
        <f t="shared" si="15"/>
        <v/>
      </c>
    </row>
    <row r="818" spans="1:2" x14ac:dyDescent="0.25">
      <c r="A818" s="8"/>
      <c r="B818" s="8" t="str">
        <f t="shared" si="15"/>
        <v/>
      </c>
    </row>
    <row r="819" spans="1:2" x14ac:dyDescent="0.25">
      <c r="A819" s="8"/>
      <c r="B819" s="8" t="str">
        <f t="shared" si="15"/>
        <v/>
      </c>
    </row>
    <row r="820" spans="1:2" x14ac:dyDescent="0.25">
      <c r="A820" s="8"/>
      <c r="B820" s="8" t="str">
        <f t="shared" si="15"/>
        <v/>
      </c>
    </row>
    <row r="821" spans="1:2" x14ac:dyDescent="0.25">
      <c r="A821" s="8"/>
      <c r="B821" s="8" t="str">
        <f t="shared" si="15"/>
        <v/>
      </c>
    </row>
    <row r="822" spans="1:2" x14ac:dyDescent="0.25">
      <c r="A822" s="8"/>
      <c r="B822" s="8" t="str">
        <f t="shared" si="15"/>
        <v/>
      </c>
    </row>
    <row r="823" spans="1:2" x14ac:dyDescent="0.25">
      <c r="A823" s="8"/>
      <c r="B823" s="8" t="str">
        <f t="shared" si="15"/>
        <v/>
      </c>
    </row>
    <row r="824" spans="1:2" x14ac:dyDescent="0.25">
      <c r="A824" s="8"/>
      <c r="B824" s="8" t="str">
        <f t="shared" si="15"/>
        <v/>
      </c>
    </row>
    <row r="825" spans="1:2" x14ac:dyDescent="0.25">
      <c r="A825" s="8"/>
      <c r="B825" s="8" t="str">
        <f t="shared" si="15"/>
        <v/>
      </c>
    </row>
    <row r="826" spans="1:2" x14ac:dyDescent="0.25">
      <c r="A826" s="8"/>
      <c r="B826" s="8" t="str">
        <f t="shared" si="15"/>
        <v/>
      </c>
    </row>
    <row r="827" spans="1:2" x14ac:dyDescent="0.25">
      <c r="A827" s="8"/>
      <c r="B827" s="8" t="str">
        <f t="shared" si="15"/>
        <v/>
      </c>
    </row>
    <row r="828" spans="1:2" x14ac:dyDescent="0.25">
      <c r="A828" s="8"/>
      <c r="B828" s="8" t="str">
        <f t="shared" si="15"/>
        <v/>
      </c>
    </row>
    <row r="829" spans="1:2" x14ac:dyDescent="0.25">
      <c r="A829" s="8"/>
      <c r="B829" s="8" t="str">
        <f t="shared" si="15"/>
        <v/>
      </c>
    </row>
    <row r="830" spans="1:2" x14ac:dyDescent="0.25">
      <c r="A830" s="8"/>
      <c r="B830" s="8" t="str">
        <f t="shared" si="15"/>
        <v/>
      </c>
    </row>
    <row r="831" spans="1:2" x14ac:dyDescent="0.25">
      <c r="A831" s="8"/>
      <c r="B831" s="8" t="str">
        <f t="shared" si="15"/>
        <v/>
      </c>
    </row>
    <row r="832" spans="1:2" x14ac:dyDescent="0.25">
      <c r="A832" s="8"/>
      <c r="B832" s="8" t="str">
        <f t="shared" si="15"/>
        <v/>
      </c>
    </row>
    <row r="833" spans="1:2" x14ac:dyDescent="0.25">
      <c r="A833" s="8"/>
      <c r="B833" s="8" t="str">
        <f t="shared" si="15"/>
        <v/>
      </c>
    </row>
    <row r="834" spans="1:2" x14ac:dyDescent="0.25">
      <c r="A834" s="8"/>
      <c r="B834" s="8" t="str">
        <f t="shared" si="15"/>
        <v/>
      </c>
    </row>
    <row r="835" spans="1:2" x14ac:dyDescent="0.25">
      <c r="A835" s="8"/>
      <c r="B835" s="8" t="str">
        <f t="shared" si="15"/>
        <v/>
      </c>
    </row>
    <row r="836" spans="1:2" x14ac:dyDescent="0.25">
      <c r="A836" s="8"/>
      <c r="B836" s="8" t="str">
        <f t="shared" ref="B836:B899" si="16">IF(A836=0,"",41824+(ROUNDUP(DAYS360(41824,A836)/7,0)*7))</f>
        <v/>
      </c>
    </row>
    <row r="837" spans="1:2" x14ac:dyDescent="0.25">
      <c r="A837" s="8"/>
      <c r="B837" s="8" t="str">
        <f t="shared" si="16"/>
        <v/>
      </c>
    </row>
    <row r="838" spans="1:2" x14ac:dyDescent="0.25">
      <c r="A838" s="8"/>
      <c r="B838" s="8" t="str">
        <f t="shared" si="16"/>
        <v/>
      </c>
    </row>
    <row r="839" spans="1:2" x14ac:dyDescent="0.25">
      <c r="A839" s="8"/>
      <c r="B839" s="8" t="str">
        <f t="shared" si="16"/>
        <v/>
      </c>
    </row>
    <row r="840" spans="1:2" x14ac:dyDescent="0.25">
      <c r="A840" s="8"/>
      <c r="B840" s="8" t="str">
        <f t="shared" si="16"/>
        <v/>
      </c>
    </row>
    <row r="841" spans="1:2" x14ac:dyDescent="0.25">
      <c r="A841" s="8"/>
      <c r="B841" s="8" t="str">
        <f t="shared" si="16"/>
        <v/>
      </c>
    </row>
    <row r="842" spans="1:2" x14ac:dyDescent="0.25">
      <c r="A842" s="8"/>
      <c r="B842" s="8" t="str">
        <f t="shared" si="16"/>
        <v/>
      </c>
    </row>
    <row r="843" spans="1:2" x14ac:dyDescent="0.25">
      <c r="A843" s="8"/>
      <c r="B843" s="8" t="str">
        <f t="shared" si="16"/>
        <v/>
      </c>
    </row>
    <row r="844" spans="1:2" x14ac:dyDescent="0.25">
      <c r="A844" s="8"/>
      <c r="B844" s="8" t="str">
        <f t="shared" si="16"/>
        <v/>
      </c>
    </row>
    <row r="845" spans="1:2" x14ac:dyDescent="0.25">
      <c r="A845" s="8"/>
      <c r="B845" s="8" t="str">
        <f t="shared" si="16"/>
        <v/>
      </c>
    </row>
    <row r="846" spans="1:2" x14ac:dyDescent="0.25">
      <c r="A846" s="8"/>
      <c r="B846" s="8" t="str">
        <f t="shared" si="16"/>
        <v/>
      </c>
    </row>
    <row r="847" spans="1:2" x14ac:dyDescent="0.25">
      <c r="A847" s="8"/>
      <c r="B847" s="8" t="str">
        <f t="shared" si="16"/>
        <v/>
      </c>
    </row>
    <row r="848" spans="1:2" x14ac:dyDescent="0.25">
      <c r="A848" s="8"/>
      <c r="B848" s="8" t="str">
        <f t="shared" si="16"/>
        <v/>
      </c>
    </row>
    <row r="849" spans="1:2" x14ac:dyDescent="0.25">
      <c r="A849" s="8"/>
      <c r="B849" s="8" t="str">
        <f t="shared" si="16"/>
        <v/>
      </c>
    </row>
    <row r="850" spans="1:2" x14ac:dyDescent="0.25">
      <c r="A850" s="8"/>
      <c r="B850" s="8" t="str">
        <f t="shared" si="16"/>
        <v/>
      </c>
    </row>
    <row r="851" spans="1:2" x14ac:dyDescent="0.25">
      <c r="A851" s="8"/>
      <c r="B851" s="8" t="str">
        <f t="shared" si="16"/>
        <v/>
      </c>
    </row>
    <row r="852" spans="1:2" x14ac:dyDescent="0.25">
      <c r="A852" s="8"/>
      <c r="B852" s="8" t="str">
        <f t="shared" si="16"/>
        <v/>
      </c>
    </row>
    <row r="853" spans="1:2" x14ac:dyDescent="0.25">
      <c r="A853" s="8"/>
      <c r="B853" s="8" t="str">
        <f t="shared" si="16"/>
        <v/>
      </c>
    </row>
    <row r="854" spans="1:2" x14ac:dyDescent="0.25">
      <c r="A854" s="8"/>
      <c r="B854" s="8" t="str">
        <f t="shared" si="16"/>
        <v/>
      </c>
    </row>
    <row r="855" spans="1:2" x14ac:dyDescent="0.25">
      <c r="A855" s="8"/>
      <c r="B855" s="8" t="str">
        <f t="shared" si="16"/>
        <v/>
      </c>
    </row>
    <row r="856" spans="1:2" x14ac:dyDescent="0.25">
      <c r="A856" s="8"/>
      <c r="B856" s="8" t="str">
        <f t="shared" si="16"/>
        <v/>
      </c>
    </row>
    <row r="857" spans="1:2" x14ac:dyDescent="0.25">
      <c r="A857" s="8"/>
      <c r="B857" s="8" t="str">
        <f t="shared" si="16"/>
        <v/>
      </c>
    </row>
    <row r="858" spans="1:2" x14ac:dyDescent="0.25">
      <c r="A858" s="8"/>
      <c r="B858" s="8" t="str">
        <f t="shared" si="16"/>
        <v/>
      </c>
    </row>
    <row r="859" spans="1:2" x14ac:dyDescent="0.25">
      <c r="A859" s="8"/>
      <c r="B859" s="8" t="str">
        <f t="shared" si="16"/>
        <v/>
      </c>
    </row>
    <row r="860" spans="1:2" x14ac:dyDescent="0.25">
      <c r="A860" s="8"/>
      <c r="B860" s="8" t="str">
        <f t="shared" si="16"/>
        <v/>
      </c>
    </row>
    <row r="861" spans="1:2" x14ac:dyDescent="0.25">
      <c r="A861" s="8"/>
      <c r="B861" s="8" t="str">
        <f t="shared" si="16"/>
        <v/>
      </c>
    </row>
    <row r="862" spans="1:2" x14ac:dyDescent="0.25">
      <c r="A862" s="8"/>
      <c r="B862" s="8" t="str">
        <f t="shared" si="16"/>
        <v/>
      </c>
    </row>
    <row r="863" spans="1:2" x14ac:dyDescent="0.25">
      <c r="A863" s="8"/>
      <c r="B863" s="8" t="str">
        <f t="shared" si="16"/>
        <v/>
      </c>
    </row>
    <row r="864" spans="1:2" x14ac:dyDescent="0.25">
      <c r="A864" s="8"/>
      <c r="B864" s="8" t="str">
        <f t="shared" si="16"/>
        <v/>
      </c>
    </row>
    <row r="865" spans="1:2" x14ac:dyDescent="0.25">
      <c r="A865" s="8"/>
      <c r="B865" s="8" t="str">
        <f t="shared" si="16"/>
        <v/>
      </c>
    </row>
    <row r="866" spans="1:2" x14ac:dyDescent="0.25">
      <c r="A866" s="8"/>
      <c r="B866" s="8" t="str">
        <f t="shared" si="16"/>
        <v/>
      </c>
    </row>
    <row r="867" spans="1:2" x14ac:dyDescent="0.25">
      <c r="A867" s="8"/>
      <c r="B867" s="8" t="str">
        <f t="shared" si="16"/>
        <v/>
      </c>
    </row>
    <row r="868" spans="1:2" x14ac:dyDescent="0.25">
      <c r="A868" s="8"/>
      <c r="B868" s="8" t="str">
        <f t="shared" si="16"/>
        <v/>
      </c>
    </row>
    <row r="869" spans="1:2" x14ac:dyDescent="0.25">
      <c r="A869" s="8"/>
      <c r="B869" s="8" t="str">
        <f t="shared" si="16"/>
        <v/>
      </c>
    </row>
    <row r="870" spans="1:2" x14ac:dyDescent="0.25">
      <c r="A870" s="8"/>
      <c r="B870" s="8" t="str">
        <f t="shared" si="16"/>
        <v/>
      </c>
    </row>
    <row r="871" spans="1:2" x14ac:dyDescent="0.25">
      <c r="A871" s="8"/>
      <c r="B871" s="8" t="str">
        <f t="shared" si="16"/>
        <v/>
      </c>
    </row>
    <row r="872" spans="1:2" x14ac:dyDescent="0.25">
      <c r="A872" s="8"/>
      <c r="B872" s="8" t="str">
        <f t="shared" si="16"/>
        <v/>
      </c>
    </row>
    <row r="873" spans="1:2" x14ac:dyDescent="0.25">
      <c r="A873" s="8"/>
      <c r="B873" s="8" t="str">
        <f t="shared" si="16"/>
        <v/>
      </c>
    </row>
    <row r="874" spans="1:2" x14ac:dyDescent="0.25">
      <c r="A874" s="8"/>
      <c r="B874" s="8" t="str">
        <f t="shared" si="16"/>
        <v/>
      </c>
    </row>
    <row r="875" spans="1:2" x14ac:dyDescent="0.25">
      <c r="A875" s="8"/>
      <c r="B875" s="8" t="str">
        <f t="shared" si="16"/>
        <v/>
      </c>
    </row>
    <row r="876" spans="1:2" x14ac:dyDescent="0.25">
      <c r="A876" s="8"/>
      <c r="B876" s="8" t="str">
        <f t="shared" si="16"/>
        <v/>
      </c>
    </row>
    <row r="877" spans="1:2" x14ac:dyDescent="0.25">
      <c r="A877" s="8"/>
      <c r="B877" s="8" t="str">
        <f t="shared" si="16"/>
        <v/>
      </c>
    </row>
    <row r="878" spans="1:2" x14ac:dyDescent="0.25">
      <c r="A878" s="8"/>
      <c r="B878" s="8" t="str">
        <f t="shared" si="16"/>
        <v/>
      </c>
    </row>
    <row r="879" spans="1:2" x14ac:dyDescent="0.25">
      <c r="A879" s="8"/>
      <c r="B879" s="8" t="str">
        <f t="shared" si="16"/>
        <v/>
      </c>
    </row>
    <row r="880" spans="1:2" x14ac:dyDescent="0.25">
      <c r="A880" s="8"/>
      <c r="B880" s="8" t="str">
        <f t="shared" si="16"/>
        <v/>
      </c>
    </row>
    <row r="881" spans="1:2" x14ac:dyDescent="0.25">
      <c r="A881" s="8"/>
      <c r="B881" s="8" t="str">
        <f t="shared" si="16"/>
        <v/>
      </c>
    </row>
    <row r="882" spans="1:2" x14ac:dyDescent="0.25">
      <c r="A882" s="8"/>
      <c r="B882" s="8" t="str">
        <f t="shared" si="16"/>
        <v/>
      </c>
    </row>
    <row r="883" spans="1:2" x14ac:dyDescent="0.25">
      <c r="A883" s="8"/>
      <c r="B883" s="8" t="str">
        <f t="shared" si="16"/>
        <v/>
      </c>
    </row>
    <row r="884" spans="1:2" x14ac:dyDescent="0.25">
      <c r="A884" s="8"/>
      <c r="B884" s="8" t="str">
        <f t="shared" si="16"/>
        <v/>
      </c>
    </row>
    <row r="885" spans="1:2" x14ac:dyDescent="0.25">
      <c r="A885" s="8"/>
      <c r="B885" s="8" t="str">
        <f t="shared" si="16"/>
        <v/>
      </c>
    </row>
    <row r="886" spans="1:2" x14ac:dyDescent="0.25">
      <c r="A886" s="8"/>
      <c r="B886" s="8" t="str">
        <f t="shared" si="16"/>
        <v/>
      </c>
    </row>
    <row r="887" spans="1:2" x14ac:dyDescent="0.25">
      <c r="A887" s="8"/>
      <c r="B887" s="8" t="str">
        <f t="shared" si="16"/>
        <v/>
      </c>
    </row>
    <row r="888" spans="1:2" x14ac:dyDescent="0.25">
      <c r="A888" s="8"/>
      <c r="B888" s="8" t="str">
        <f t="shared" si="16"/>
        <v/>
      </c>
    </row>
    <row r="889" spans="1:2" x14ac:dyDescent="0.25">
      <c r="A889" s="8"/>
      <c r="B889" s="8" t="str">
        <f t="shared" si="16"/>
        <v/>
      </c>
    </row>
    <row r="890" spans="1:2" x14ac:dyDescent="0.25">
      <c r="A890" s="8"/>
      <c r="B890" s="8" t="str">
        <f t="shared" si="16"/>
        <v/>
      </c>
    </row>
    <row r="891" spans="1:2" x14ac:dyDescent="0.25">
      <c r="A891" s="8"/>
      <c r="B891" s="8" t="str">
        <f t="shared" si="16"/>
        <v/>
      </c>
    </row>
    <row r="892" spans="1:2" x14ac:dyDescent="0.25">
      <c r="A892" s="8"/>
      <c r="B892" s="8" t="str">
        <f t="shared" si="16"/>
        <v/>
      </c>
    </row>
    <row r="893" spans="1:2" x14ac:dyDescent="0.25">
      <c r="A893" s="8"/>
      <c r="B893" s="8" t="str">
        <f t="shared" si="16"/>
        <v/>
      </c>
    </row>
    <row r="894" spans="1:2" x14ac:dyDescent="0.25">
      <c r="A894" s="8"/>
      <c r="B894" s="8" t="str">
        <f t="shared" si="16"/>
        <v/>
      </c>
    </row>
    <row r="895" spans="1:2" x14ac:dyDescent="0.25">
      <c r="A895" s="8"/>
      <c r="B895" s="8" t="str">
        <f t="shared" si="16"/>
        <v/>
      </c>
    </row>
    <row r="896" spans="1:2" x14ac:dyDescent="0.25">
      <c r="A896" s="8"/>
      <c r="B896" s="8" t="str">
        <f t="shared" si="16"/>
        <v/>
      </c>
    </row>
    <row r="897" spans="1:2" x14ac:dyDescent="0.25">
      <c r="A897" s="8"/>
      <c r="B897" s="8" t="str">
        <f t="shared" si="16"/>
        <v/>
      </c>
    </row>
    <row r="898" spans="1:2" x14ac:dyDescent="0.25">
      <c r="A898" s="8"/>
      <c r="B898" s="8" t="str">
        <f t="shared" si="16"/>
        <v/>
      </c>
    </row>
    <row r="899" spans="1:2" x14ac:dyDescent="0.25">
      <c r="A899" s="8"/>
      <c r="B899" s="8" t="str">
        <f t="shared" si="16"/>
        <v/>
      </c>
    </row>
    <row r="900" spans="1:2" x14ac:dyDescent="0.25">
      <c r="A900" s="8"/>
      <c r="B900" s="8" t="str">
        <f t="shared" ref="B900:B963" si="17">IF(A900=0,"",41824+(ROUNDUP(DAYS360(41824,A900)/7,0)*7))</f>
        <v/>
      </c>
    </row>
    <row r="901" spans="1:2" x14ac:dyDescent="0.25">
      <c r="A901" s="8"/>
      <c r="B901" s="8" t="str">
        <f t="shared" si="17"/>
        <v/>
      </c>
    </row>
    <row r="902" spans="1:2" x14ac:dyDescent="0.25">
      <c r="A902" s="8"/>
      <c r="B902" s="8" t="str">
        <f t="shared" si="17"/>
        <v/>
      </c>
    </row>
    <row r="903" spans="1:2" x14ac:dyDescent="0.25">
      <c r="A903" s="8"/>
      <c r="B903" s="8" t="str">
        <f t="shared" si="17"/>
        <v/>
      </c>
    </row>
    <row r="904" spans="1:2" x14ac:dyDescent="0.25">
      <c r="A904" s="8"/>
      <c r="B904" s="8" t="str">
        <f t="shared" si="17"/>
        <v/>
      </c>
    </row>
    <row r="905" spans="1:2" x14ac:dyDescent="0.25">
      <c r="A905" s="8"/>
      <c r="B905" s="8" t="str">
        <f t="shared" si="17"/>
        <v/>
      </c>
    </row>
    <row r="906" spans="1:2" x14ac:dyDescent="0.25">
      <c r="A906" s="8"/>
      <c r="B906" s="8" t="str">
        <f t="shared" si="17"/>
        <v/>
      </c>
    </row>
    <row r="907" spans="1:2" x14ac:dyDescent="0.25">
      <c r="A907" s="8"/>
      <c r="B907" s="8" t="str">
        <f t="shared" si="17"/>
        <v/>
      </c>
    </row>
    <row r="908" spans="1:2" x14ac:dyDescent="0.25">
      <c r="A908" s="8"/>
      <c r="B908" s="8" t="str">
        <f t="shared" si="17"/>
        <v/>
      </c>
    </row>
    <row r="909" spans="1:2" x14ac:dyDescent="0.25">
      <c r="A909" s="8"/>
      <c r="B909" s="8" t="str">
        <f t="shared" si="17"/>
        <v/>
      </c>
    </row>
    <row r="910" spans="1:2" x14ac:dyDescent="0.25">
      <c r="A910" s="8"/>
      <c r="B910" s="8" t="str">
        <f t="shared" si="17"/>
        <v/>
      </c>
    </row>
    <row r="911" spans="1:2" x14ac:dyDescent="0.25">
      <c r="A911" s="8"/>
      <c r="B911" s="8" t="str">
        <f t="shared" si="17"/>
        <v/>
      </c>
    </row>
    <row r="912" spans="1:2" x14ac:dyDescent="0.25">
      <c r="A912" s="8"/>
      <c r="B912" s="8" t="str">
        <f t="shared" si="17"/>
        <v/>
      </c>
    </row>
    <row r="913" spans="1:2" x14ac:dyDescent="0.25">
      <c r="A913" s="8"/>
      <c r="B913" s="8" t="str">
        <f t="shared" si="17"/>
        <v/>
      </c>
    </row>
    <row r="914" spans="1:2" x14ac:dyDescent="0.25">
      <c r="A914" s="8"/>
      <c r="B914" s="8" t="str">
        <f t="shared" si="17"/>
        <v/>
      </c>
    </row>
    <row r="915" spans="1:2" x14ac:dyDescent="0.25">
      <c r="A915" s="8"/>
      <c r="B915" s="8" t="str">
        <f t="shared" si="17"/>
        <v/>
      </c>
    </row>
    <row r="916" spans="1:2" x14ac:dyDescent="0.25">
      <c r="A916" s="8"/>
      <c r="B916" s="8" t="str">
        <f t="shared" si="17"/>
        <v/>
      </c>
    </row>
    <row r="917" spans="1:2" x14ac:dyDescent="0.25">
      <c r="A917" s="8"/>
      <c r="B917" s="8" t="str">
        <f t="shared" si="17"/>
        <v/>
      </c>
    </row>
    <row r="918" spans="1:2" x14ac:dyDescent="0.25">
      <c r="A918" s="8"/>
      <c r="B918" s="8" t="str">
        <f t="shared" si="17"/>
        <v/>
      </c>
    </row>
    <row r="919" spans="1:2" x14ac:dyDescent="0.25">
      <c r="A919" s="8"/>
      <c r="B919" s="8" t="str">
        <f t="shared" si="17"/>
        <v/>
      </c>
    </row>
    <row r="920" spans="1:2" x14ac:dyDescent="0.25">
      <c r="A920" s="8"/>
      <c r="B920" s="8" t="str">
        <f t="shared" si="17"/>
        <v/>
      </c>
    </row>
    <row r="921" spans="1:2" x14ac:dyDescent="0.25">
      <c r="A921" s="8"/>
      <c r="B921" s="8" t="str">
        <f t="shared" si="17"/>
        <v/>
      </c>
    </row>
    <row r="922" spans="1:2" x14ac:dyDescent="0.25">
      <c r="A922" s="8"/>
      <c r="B922" s="8" t="str">
        <f t="shared" si="17"/>
        <v/>
      </c>
    </row>
    <row r="923" spans="1:2" x14ac:dyDescent="0.25">
      <c r="A923" s="8"/>
      <c r="B923" s="8" t="str">
        <f t="shared" si="17"/>
        <v/>
      </c>
    </row>
    <row r="924" spans="1:2" x14ac:dyDescent="0.25">
      <c r="A924" s="8"/>
      <c r="B924" s="8" t="str">
        <f t="shared" si="17"/>
        <v/>
      </c>
    </row>
    <row r="925" spans="1:2" x14ac:dyDescent="0.25">
      <c r="A925" s="8"/>
      <c r="B925" s="8" t="str">
        <f t="shared" si="17"/>
        <v/>
      </c>
    </row>
    <row r="926" spans="1:2" x14ac:dyDescent="0.25">
      <c r="A926" s="8"/>
      <c r="B926" s="8" t="str">
        <f t="shared" si="17"/>
        <v/>
      </c>
    </row>
    <row r="927" spans="1:2" x14ac:dyDescent="0.25">
      <c r="A927" s="8"/>
      <c r="B927" s="8" t="str">
        <f t="shared" si="17"/>
        <v/>
      </c>
    </row>
    <row r="928" spans="1:2" x14ac:dyDescent="0.25">
      <c r="A928" s="8"/>
      <c r="B928" s="8" t="str">
        <f t="shared" si="17"/>
        <v/>
      </c>
    </row>
    <row r="929" spans="1:2" x14ac:dyDescent="0.25">
      <c r="A929" s="8"/>
      <c r="B929" s="8" t="str">
        <f t="shared" si="17"/>
        <v/>
      </c>
    </row>
    <row r="930" spans="1:2" x14ac:dyDescent="0.25">
      <c r="A930" s="8"/>
      <c r="B930" s="8" t="str">
        <f t="shared" si="17"/>
        <v/>
      </c>
    </row>
    <row r="931" spans="1:2" x14ac:dyDescent="0.25">
      <c r="A931" s="8"/>
      <c r="B931" s="8" t="str">
        <f t="shared" si="17"/>
        <v/>
      </c>
    </row>
    <row r="932" spans="1:2" x14ac:dyDescent="0.25">
      <c r="A932" s="8"/>
      <c r="B932" s="8" t="str">
        <f t="shared" si="17"/>
        <v/>
      </c>
    </row>
    <row r="933" spans="1:2" x14ac:dyDescent="0.25">
      <c r="A933" s="8"/>
      <c r="B933" s="8" t="str">
        <f t="shared" si="17"/>
        <v/>
      </c>
    </row>
    <row r="934" spans="1:2" x14ac:dyDescent="0.25">
      <c r="A934" s="8"/>
      <c r="B934" s="8" t="str">
        <f t="shared" si="17"/>
        <v/>
      </c>
    </row>
    <row r="935" spans="1:2" x14ac:dyDescent="0.25">
      <c r="A935" s="8"/>
      <c r="B935" s="8" t="str">
        <f t="shared" si="17"/>
        <v/>
      </c>
    </row>
    <row r="936" spans="1:2" x14ac:dyDescent="0.25">
      <c r="A936" s="8"/>
      <c r="B936" s="8" t="str">
        <f t="shared" si="17"/>
        <v/>
      </c>
    </row>
    <row r="937" spans="1:2" x14ac:dyDescent="0.25">
      <c r="A937" s="8"/>
      <c r="B937" s="8" t="str">
        <f t="shared" si="17"/>
        <v/>
      </c>
    </row>
    <row r="938" spans="1:2" x14ac:dyDescent="0.25">
      <c r="A938" s="8"/>
      <c r="B938" s="8" t="str">
        <f t="shared" si="17"/>
        <v/>
      </c>
    </row>
    <row r="939" spans="1:2" x14ac:dyDescent="0.25">
      <c r="A939" s="8"/>
      <c r="B939" s="8" t="str">
        <f t="shared" si="17"/>
        <v/>
      </c>
    </row>
    <row r="940" spans="1:2" x14ac:dyDescent="0.25">
      <c r="A940" s="8"/>
      <c r="B940" s="8" t="str">
        <f t="shared" si="17"/>
        <v/>
      </c>
    </row>
    <row r="941" spans="1:2" x14ac:dyDescent="0.25">
      <c r="A941" s="8"/>
      <c r="B941" s="8" t="str">
        <f t="shared" si="17"/>
        <v/>
      </c>
    </row>
    <row r="942" spans="1:2" x14ac:dyDescent="0.25">
      <c r="A942" s="8"/>
      <c r="B942" s="8" t="str">
        <f t="shared" si="17"/>
        <v/>
      </c>
    </row>
    <row r="943" spans="1:2" x14ac:dyDescent="0.25">
      <c r="A943" s="8"/>
      <c r="B943" s="8" t="str">
        <f t="shared" si="17"/>
        <v/>
      </c>
    </row>
    <row r="944" spans="1:2" x14ac:dyDescent="0.25">
      <c r="A944" s="8"/>
      <c r="B944" s="8" t="str">
        <f t="shared" si="17"/>
        <v/>
      </c>
    </row>
    <row r="945" spans="1:2" x14ac:dyDescent="0.25">
      <c r="A945" s="8"/>
      <c r="B945" s="8" t="str">
        <f t="shared" si="17"/>
        <v/>
      </c>
    </row>
    <row r="946" spans="1:2" x14ac:dyDescent="0.25">
      <c r="A946" s="8"/>
      <c r="B946" s="8" t="str">
        <f t="shared" si="17"/>
        <v/>
      </c>
    </row>
    <row r="947" spans="1:2" x14ac:dyDescent="0.25">
      <c r="A947" s="8"/>
      <c r="B947" s="8" t="str">
        <f t="shared" si="17"/>
        <v/>
      </c>
    </row>
    <row r="948" spans="1:2" x14ac:dyDescent="0.25">
      <c r="A948" s="8"/>
      <c r="B948" s="8" t="str">
        <f t="shared" si="17"/>
        <v/>
      </c>
    </row>
    <row r="949" spans="1:2" x14ac:dyDescent="0.25">
      <c r="A949" s="8"/>
      <c r="B949" s="8" t="str">
        <f t="shared" si="17"/>
        <v/>
      </c>
    </row>
    <row r="950" spans="1:2" x14ac:dyDescent="0.25">
      <c r="A950" s="8"/>
      <c r="B950" s="8" t="str">
        <f t="shared" si="17"/>
        <v/>
      </c>
    </row>
    <row r="951" spans="1:2" x14ac:dyDescent="0.25">
      <c r="A951" s="8"/>
      <c r="B951" s="8" t="str">
        <f t="shared" si="17"/>
        <v/>
      </c>
    </row>
    <row r="952" spans="1:2" x14ac:dyDescent="0.25">
      <c r="A952" s="8"/>
      <c r="B952" s="8" t="str">
        <f t="shared" si="17"/>
        <v/>
      </c>
    </row>
    <row r="953" spans="1:2" x14ac:dyDescent="0.25">
      <c r="A953" s="8"/>
      <c r="B953" s="8" t="str">
        <f t="shared" si="17"/>
        <v/>
      </c>
    </row>
    <row r="954" spans="1:2" x14ac:dyDescent="0.25">
      <c r="A954" s="8"/>
      <c r="B954" s="8" t="str">
        <f t="shared" si="17"/>
        <v/>
      </c>
    </row>
    <row r="955" spans="1:2" x14ac:dyDescent="0.25">
      <c r="A955" s="8"/>
      <c r="B955" s="8" t="str">
        <f t="shared" si="17"/>
        <v/>
      </c>
    </row>
    <row r="956" spans="1:2" x14ac:dyDescent="0.25">
      <c r="A956" s="8"/>
      <c r="B956" s="8" t="str">
        <f t="shared" si="17"/>
        <v/>
      </c>
    </row>
    <row r="957" spans="1:2" x14ac:dyDescent="0.25">
      <c r="A957" s="8"/>
      <c r="B957" s="8" t="str">
        <f t="shared" si="17"/>
        <v/>
      </c>
    </row>
    <row r="958" spans="1:2" x14ac:dyDescent="0.25">
      <c r="A958" s="8"/>
      <c r="B958" s="8" t="str">
        <f t="shared" si="17"/>
        <v/>
      </c>
    </row>
    <row r="959" spans="1:2" x14ac:dyDescent="0.25">
      <c r="A959" s="8"/>
      <c r="B959" s="8" t="str">
        <f t="shared" si="17"/>
        <v/>
      </c>
    </row>
    <row r="960" spans="1:2" x14ac:dyDescent="0.25">
      <c r="A960" s="8"/>
      <c r="B960" s="8" t="str">
        <f t="shared" si="17"/>
        <v/>
      </c>
    </row>
    <row r="961" spans="1:2" x14ac:dyDescent="0.25">
      <c r="A961" s="8"/>
      <c r="B961" s="8" t="str">
        <f t="shared" si="17"/>
        <v/>
      </c>
    </row>
    <row r="962" spans="1:2" x14ac:dyDescent="0.25">
      <c r="A962" s="8"/>
      <c r="B962" s="8" t="str">
        <f t="shared" si="17"/>
        <v/>
      </c>
    </row>
    <row r="963" spans="1:2" x14ac:dyDescent="0.25">
      <c r="A963" s="8"/>
      <c r="B963" s="8" t="str">
        <f t="shared" si="17"/>
        <v/>
      </c>
    </row>
    <row r="964" spans="1:2" x14ac:dyDescent="0.25">
      <c r="A964" s="8"/>
      <c r="B964" s="8" t="str">
        <f t="shared" ref="B964:B1027" si="18">IF(A964=0,"",41824+(ROUNDUP(DAYS360(41824,A964)/7,0)*7))</f>
        <v/>
      </c>
    </row>
    <row r="965" spans="1:2" x14ac:dyDescent="0.25">
      <c r="A965" s="8"/>
      <c r="B965" s="8" t="str">
        <f t="shared" si="18"/>
        <v/>
      </c>
    </row>
    <row r="966" spans="1:2" x14ac:dyDescent="0.25">
      <c r="A966" s="8"/>
      <c r="B966" s="8" t="str">
        <f t="shared" si="18"/>
        <v/>
      </c>
    </row>
    <row r="967" spans="1:2" x14ac:dyDescent="0.25">
      <c r="A967" s="8"/>
      <c r="B967" s="8" t="str">
        <f t="shared" si="18"/>
        <v/>
      </c>
    </row>
    <row r="968" spans="1:2" x14ac:dyDescent="0.25">
      <c r="A968" s="8"/>
      <c r="B968" s="8" t="str">
        <f t="shared" si="18"/>
        <v/>
      </c>
    </row>
    <row r="969" spans="1:2" x14ac:dyDescent="0.25">
      <c r="A969" s="8"/>
      <c r="B969" s="8" t="str">
        <f t="shared" si="18"/>
        <v/>
      </c>
    </row>
    <row r="970" spans="1:2" x14ac:dyDescent="0.25">
      <c r="A970" s="8"/>
      <c r="B970" s="8" t="str">
        <f t="shared" si="18"/>
        <v/>
      </c>
    </row>
    <row r="971" spans="1:2" x14ac:dyDescent="0.25">
      <c r="A971" s="8"/>
      <c r="B971" s="8" t="str">
        <f t="shared" si="18"/>
        <v/>
      </c>
    </row>
    <row r="972" spans="1:2" x14ac:dyDescent="0.25">
      <c r="A972" s="8"/>
      <c r="B972" s="8" t="str">
        <f t="shared" si="18"/>
        <v/>
      </c>
    </row>
    <row r="973" spans="1:2" x14ac:dyDescent="0.25">
      <c r="A973" s="8"/>
      <c r="B973" s="8" t="str">
        <f t="shared" si="18"/>
        <v/>
      </c>
    </row>
    <row r="974" spans="1:2" x14ac:dyDescent="0.25">
      <c r="A974" s="8"/>
      <c r="B974" s="8" t="str">
        <f t="shared" si="18"/>
        <v/>
      </c>
    </row>
    <row r="975" spans="1:2" x14ac:dyDescent="0.25">
      <c r="A975" s="8"/>
      <c r="B975" s="8" t="str">
        <f t="shared" si="18"/>
        <v/>
      </c>
    </row>
    <row r="976" spans="1:2" x14ac:dyDescent="0.25">
      <c r="A976" s="8"/>
      <c r="B976" s="8" t="str">
        <f t="shared" si="18"/>
        <v/>
      </c>
    </row>
    <row r="977" spans="1:2" x14ac:dyDescent="0.25">
      <c r="A977" s="8"/>
      <c r="B977" s="8" t="str">
        <f t="shared" si="18"/>
        <v/>
      </c>
    </row>
    <row r="978" spans="1:2" x14ac:dyDescent="0.25">
      <c r="A978" s="8"/>
      <c r="B978" s="8" t="str">
        <f t="shared" si="18"/>
        <v/>
      </c>
    </row>
    <row r="979" spans="1:2" x14ac:dyDescent="0.25">
      <c r="A979" s="8"/>
      <c r="B979" s="8" t="str">
        <f t="shared" si="18"/>
        <v/>
      </c>
    </row>
    <row r="980" spans="1:2" x14ac:dyDescent="0.25">
      <c r="A980" s="8"/>
      <c r="B980" s="8" t="str">
        <f t="shared" si="18"/>
        <v/>
      </c>
    </row>
    <row r="981" spans="1:2" x14ac:dyDescent="0.25">
      <c r="A981" s="8"/>
      <c r="B981" s="8" t="str">
        <f t="shared" si="18"/>
        <v/>
      </c>
    </row>
    <row r="982" spans="1:2" x14ac:dyDescent="0.25">
      <c r="A982" s="8"/>
      <c r="B982" s="8" t="str">
        <f t="shared" si="18"/>
        <v/>
      </c>
    </row>
    <row r="983" spans="1:2" x14ac:dyDescent="0.25">
      <c r="A983" s="8"/>
      <c r="B983" s="8" t="str">
        <f t="shared" si="18"/>
        <v/>
      </c>
    </row>
    <row r="984" spans="1:2" x14ac:dyDescent="0.25">
      <c r="A984" s="8"/>
      <c r="B984" s="8" t="str">
        <f t="shared" si="18"/>
        <v/>
      </c>
    </row>
    <row r="985" spans="1:2" x14ac:dyDescent="0.25">
      <c r="A985" s="8"/>
      <c r="B985" s="8" t="str">
        <f t="shared" si="18"/>
        <v/>
      </c>
    </row>
    <row r="986" spans="1:2" x14ac:dyDescent="0.25">
      <c r="A986" s="8"/>
      <c r="B986" s="8" t="str">
        <f t="shared" si="18"/>
        <v/>
      </c>
    </row>
    <row r="987" spans="1:2" x14ac:dyDescent="0.25">
      <c r="A987" s="8"/>
      <c r="B987" s="8" t="str">
        <f t="shared" si="18"/>
        <v/>
      </c>
    </row>
    <row r="988" spans="1:2" x14ac:dyDescent="0.25">
      <c r="A988" s="8"/>
      <c r="B988" s="8" t="str">
        <f t="shared" si="18"/>
        <v/>
      </c>
    </row>
    <row r="989" spans="1:2" x14ac:dyDescent="0.25">
      <c r="A989" s="8"/>
      <c r="B989" s="8" t="str">
        <f t="shared" si="18"/>
        <v/>
      </c>
    </row>
    <row r="990" spans="1:2" x14ac:dyDescent="0.25">
      <c r="A990" s="8"/>
      <c r="B990" s="8" t="str">
        <f t="shared" si="18"/>
        <v/>
      </c>
    </row>
    <row r="991" spans="1:2" x14ac:dyDescent="0.25">
      <c r="A991" s="8"/>
      <c r="B991" s="8" t="str">
        <f t="shared" si="18"/>
        <v/>
      </c>
    </row>
    <row r="992" spans="1:2" x14ac:dyDescent="0.25">
      <c r="A992" s="8"/>
      <c r="B992" s="8" t="str">
        <f t="shared" si="18"/>
        <v/>
      </c>
    </row>
    <row r="993" spans="1:2" x14ac:dyDescent="0.25">
      <c r="A993" s="8"/>
      <c r="B993" s="8" t="str">
        <f t="shared" si="18"/>
        <v/>
      </c>
    </row>
    <row r="994" spans="1:2" x14ac:dyDescent="0.25">
      <c r="A994" s="8"/>
      <c r="B994" s="8" t="str">
        <f t="shared" si="18"/>
        <v/>
      </c>
    </row>
    <row r="995" spans="1:2" x14ac:dyDescent="0.25">
      <c r="A995" s="8"/>
      <c r="B995" s="8" t="str">
        <f t="shared" si="18"/>
        <v/>
      </c>
    </row>
    <row r="996" spans="1:2" x14ac:dyDescent="0.25">
      <c r="A996" s="8"/>
      <c r="B996" s="8" t="str">
        <f t="shared" si="18"/>
        <v/>
      </c>
    </row>
    <row r="997" spans="1:2" x14ac:dyDescent="0.25">
      <c r="A997" s="8"/>
      <c r="B997" s="8" t="str">
        <f t="shared" si="18"/>
        <v/>
      </c>
    </row>
    <row r="998" spans="1:2" x14ac:dyDescent="0.25">
      <c r="A998" s="8"/>
      <c r="B998" s="8" t="str">
        <f t="shared" si="18"/>
        <v/>
      </c>
    </row>
    <row r="999" spans="1:2" x14ac:dyDescent="0.25">
      <c r="A999" s="8"/>
      <c r="B999" s="8" t="str">
        <f t="shared" si="18"/>
        <v/>
      </c>
    </row>
    <row r="1000" spans="1:2" x14ac:dyDescent="0.25">
      <c r="A1000" s="8"/>
      <c r="B1000" s="8" t="str">
        <f t="shared" si="18"/>
        <v/>
      </c>
    </row>
    <row r="1001" spans="1:2" x14ac:dyDescent="0.25">
      <c r="A1001" s="8"/>
      <c r="B1001" s="8" t="str">
        <f t="shared" si="18"/>
        <v/>
      </c>
    </row>
    <row r="1002" spans="1:2" x14ac:dyDescent="0.25">
      <c r="A1002" s="8"/>
      <c r="B1002" s="8" t="str">
        <f t="shared" si="18"/>
        <v/>
      </c>
    </row>
    <row r="1003" spans="1:2" x14ac:dyDescent="0.25">
      <c r="A1003" s="8"/>
      <c r="B1003" s="8" t="str">
        <f t="shared" si="18"/>
        <v/>
      </c>
    </row>
    <row r="1004" spans="1:2" x14ac:dyDescent="0.25">
      <c r="A1004" s="8"/>
      <c r="B1004" s="8" t="str">
        <f t="shared" si="18"/>
        <v/>
      </c>
    </row>
    <row r="1005" spans="1:2" x14ac:dyDescent="0.25">
      <c r="A1005" s="8"/>
      <c r="B1005" s="8" t="str">
        <f t="shared" si="18"/>
        <v/>
      </c>
    </row>
    <row r="1006" spans="1:2" x14ac:dyDescent="0.25">
      <c r="A1006" s="8"/>
      <c r="B1006" s="8" t="str">
        <f t="shared" si="18"/>
        <v/>
      </c>
    </row>
    <row r="1007" spans="1:2" x14ac:dyDescent="0.25">
      <c r="A1007" s="8"/>
      <c r="B1007" s="8" t="str">
        <f t="shared" si="18"/>
        <v/>
      </c>
    </row>
    <row r="1008" spans="1:2" x14ac:dyDescent="0.25">
      <c r="A1008" s="8"/>
      <c r="B1008" s="8" t="str">
        <f t="shared" si="18"/>
        <v/>
      </c>
    </row>
    <row r="1009" spans="1:2" x14ac:dyDescent="0.25">
      <c r="A1009" s="8"/>
      <c r="B1009" s="8" t="str">
        <f t="shared" si="18"/>
        <v/>
      </c>
    </row>
    <row r="1010" spans="1:2" x14ac:dyDescent="0.25">
      <c r="A1010" s="8"/>
      <c r="B1010" s="8" t="str">
        <f t="shared" si="18"/>
        <v/>
      </c>
    </row>
    <row r="1011" spans="1:2" x14ac:dyDescent="0.25">
      <c r="A1011" s="8"/>
      <c r="B1011" s="8" t="str">
        <f t="shared" si="18"/>
        <v/>
      </c>
    </row>
    <row r="1012" spans="1:2" x14ac:dyDescent="0.25">
      <c r="A1012" s="8"/>
      <c r="B1012" s="8" t="str">
        <f t="shared" si="18"/>
        <v/>
      </c>
    </row>
    <row r="1013" spans="1:2" x14ac:dyDescent="0.25">
      <c r="A1013" s="8"/>
      <c r="B1013" s="8" t="str">
        <f t="shared" si="18"/>
        <v/>
      </c>
    </row>
    <row r="1014" spans="1:2" x14ac:dyDescent="0.25">
      <c r="A1014" s="8"/>
      <c r="B1014" s="8" t="str">
        <f t="shared" si="18"/>
        <v/>
      </c>
    </row>
    <row r="1015" spans="1:2" x14ac:dyDescent="0.25">
      <c r="A1015" s="8"/>
      <c r="B1015" s="8" t="str">
        <f t="shared" si="18"/>
        <v/>
      </c>
    </row>
    <row r="1016" spans="1:2" x14ac:dyDescent="0.25">
      <c r="A1016" s="8"/>
      <c r="B1016" s="8" t="str">
        <f t="shared" si="18"/>
        <v/>
      </c>
    </row>
    <row r="1017" spans="1:2" x14ac:dyDescent="0.25">
      <c r="A1017" s="8"/>
      <c r="B1017" s="8" t="str">
        <f t="shared" si="18"/>
        <v/>
      </c>
    </row>
    <row r="1018" spans="1:2" x14ac:dyDescent="0.25">
      <c r="A1018" s="8"/>
      <c r="B1018" s="8" t="str">
        <f t="shared" si="18"/>
        <v/>
      </c>
    </row>
    <row r="1019" spans="1:2" x14ac:dyDescent="0.25">
      <c r="A1019" s="8"/>
      <c r="B1019" s="8" t="str">
        <f t="shared" si="18"/>
        <v/>
      </c>
    </row>
    <row r="1020" spans="1:2" x14ac:dyDescent="0.25">
      <c r="A1020" s="8"/>
      <c r="B1020" s="8" t="str">
        <f t="shared" si="18"/>
        <v/>
      </c>
    </row>
    <row r="1021" spans="1:2" x14ac:dyDescent="0.25">
      <c r="A1021" s="8"/>
      <c r="B1021" s="8" t="str">
        <f t="shared" si="18"/>
        <v/>
      </c>
    </row>
    <row r="1022" spans="1:2" x14ac:dyDescent="0.25">
      <c r="A1022" s="8"/>
      <c r="B1022" s="8" t="str">
        <f t="shared" si="18"/>
        <v/>
      </c>
    </row>
    <row r="1023" spans="1:2" x14ac:dyDescent="0.25">
      <c r="A1023" s="8"/>
      <c r="B1023" s="8" t="str">
        <f t="shared" si="18"/>
        <v/>
      </c>
    </row>
    <row r="1024" spans="1:2" x14ac:dyDescent="0.25">
      <c r="A1024" s="8"/>
      <c r="B1024" s="8" t="str">
        <f t="shared" si="18"/>
        <v/>
      </c>
    </row>
    <row r="1025" spans="1:2" x14ac:dyDescent="0.25">
      <c r="A1025" s="8"/>
      <c r="B1025" s="8" t="str">
        <f t="shared" si="18"/>
        <v/>
      </c>
    </row>
    <row r="1026" spans="1:2" x14ac:dyDescent="0.25">
      <c r="A1026" s="8"/>
      <c r="B1026" s="8" t="str">
        <f t="shared" si="18"/>
        <v/>
      </c>
    </row>
    <row r="1027" spans="1:2" x14ac:dyDescent="0.25">
      <c r="A1027" s="8"/>
      <c r="B1027" s="8" t="str">
        <f t="shared" si="18"/>
        <v/>
      </c>
    </row>
    <row r="1028" spans="1:2" x14ac:dyDescent="0.25">
      <c r="A1028" s="8"/>
      <c r="B1028" s="8" t="str">
        <f t="shared" ref="B1028:B1091" si="19">IF(A1028=0,"",41824+(ROUNDUP(DAYS360(41824,A1028)/7,0)*7))</f>
        <v/>
      </c>
    </row>
    <row r="1029" spans="1:2" x14ac:dyDescent="0.25">
      <c r="A1029" s="8"/>
      <c r="B1029" s="8" t="str">
        <f t="shared" si="19"/>
        <v/>
      </c>
    </row>
    <row r="1030" spans="1:2" x14ac:dyDescent="0.25">
      <c r="A1030" s="8"/>
      <c r="B1030" s="8" t="str">
        <f t="shared" si="19"/>
        <v/>
      </c>
    </row>
    <row r="1031" spans="1:2" x14ac:dyDescent="0.25">
      <c r="A1031" s="8"/>
      <c r="B1031" s="8" t="str">
        <f t="shared" si="19"/>
        <v/>
      </c>
    </row>
    <row r="1032" spans="1:2" x14ac:dyDescent="0.25">
      <c r="A1032" s="8"/>
      <c r="B1032" s="8" t="str">
        <f t="shared" si="19"/>
        <v/>
      </c>
    </row>
    <row r="1033" spans="1:2" x14ac:dyDescent="0.25">
      <c r="A1033" s="8"/>
      <c r="B1033" s="8" t="str">
        <f t="shared" si="19"/>
        <v/>
      </c>
    </row>
    <row r="1034" spans="1:2" x14ac:dyDescent="0.25">
      <c r="A1034" s="8"/>
      <c r="B1034" s="8" t="str">
        <f t="shared" si="19"/>
        <v/>
      </c>
    </row>
    <row r="1035" spans="1:2" x14ac:dyDescent="0.25">
      <c r="A1035" s="8"/>
      <c r="B1035" s="8" t="str">
        <f t="shared" si="19"/>
        <v/>
      </c>
    </row>
    <row r="1036" spans="1:2" x14ac:dyDescent="0.25">
      <c r="A1036" s="8"/>
      <c r="B1036" s="8" t="str">
        <f t="shared" si="19"/>
        <v/>
      </c>
    </row>
    <row r="1037" spans="1:2" x14ac:dyDescent="0.25">
      <c r="A1037" s="8"/>
      <c r="B1037" s="8" t="str">
        <f t="shared" si="19"/>
        <v/>
      </c>
    </row>
    <row r="1038" spans="1:2" x14ac:dyDescent="0.25">
      <c r="A1038" s="8"/>
      <c r="B1038" s="8" t="str">
        <f t="shared" si="19"/>
        <v/>
      </c>
    </row>
    <row r="1039" spans="1:2" x14ac:dyDescent="0.25">
      <c r="A1039" s="8"/>
      <c r="B1039" s="8" t="str">
        <f t="shared" si="19"/>
        <v/>
      </c>
    </row>
    <row r="1040" spans="1:2" x14ac:dyDescent="0.25">
      <c r="A1040" s="8"/>
      <c r="B1040" s="8" t="str">
        <f t="shared" si="19"/>
        <v/>
      </c>
    </row>
    <row r="1041" spans="1:2" x14ac:dyDescent="0.25">
      <c r="A1041" s="8"/>
      <c r="B1041" s="8" t="str">
        <f t="shared" si="19"/>
        <v/>
      </c>
    </row>
    <row r="1042" spans="1:2" x14ac:dyDescent="0.25">
      <c r="A1042" s="8"/>
      <c r="B1042" s="8" t="str">
        <f t="shared" si="19"/>
        <v/>
      </c>
    </row>
    <row r="1043" spans="1:2" x14ac:dyDescent="0.25">
      <c r="A1043" s="8"/>
      <c r="B1043" s="8" t="str">
        <f t="shared" si="19"/>
        <v/>
      </c>
    </row>
    <row r="1044" spans="1:2" x14ac:dyDescent="0.25">
      <c r="A1044" s="8"/>
      <c r="B1044" s="8" t="str">
        <f t="shared" si="19"/>
        <v/>
      </c>
    </row>
    <row r="1045" spans="1:2" x14ac:dyDescent="0.25">
      <c r="A1045" s="8"/>
      <c r="B1045" s="8" t="str">
        <f t="shared" si="19"/>
        <v/>
      </c>
    </row>
    <row r="1046" spans="1:2" x14ac:dyDescent="0.25">
      <c r="A1046" s="8"/>
      <c r="B1046" s="8" t="str">
        <f t="shared" si="19"/>
        <v/>
      </c>
    </row>
    <row r="1047" spans="1:2" x14ac:dyDescent="0.25">
      <c r="A1047" s="8"/>
      <c r="B1047" s="8" t="str">
        <f t="shared" si="19"/>
        <v/>
      </c>
    </row>
    <row r="1048" spans="1:2" x14ac:dyDescent="0.25">
      <c r="A1048" s="8"/>
      <c r="B1048" s="8" t="str">
        <f t="shared" si="19"/>
        <v/>
      </c>
    </row>
    <row r="1049" spans="1:2" x14ac:dyDescent="0.25">
      <c r="A1049" s="8"/>
      <c r="B1049" s="8" t="str">
        <f t="shared" si="19"/>
        <v/>
      </c>
    </row>
    <row r="1050" spans="1:2" x14ac:dyDescent="0.25">
      <c r="A1050" s="8"/>
      <c r="B1050" s="8" t="str">
        <f t="shared" si="19"/>
        <v/>
      </c>
    </row>
    <row r="1051" spans="1:2" x14ac:dyDescent="0.25">
      <c r="A1051" s="8"/>
      <c r="B1051" s="8" t="str">
        <f t="shared" si="19"/>
        <v/>
      </c>
    </row>
    <row r="1052" spans="1:2" x14ac:dyDescent="0.25">
      <c r="A1052" s="8"/>
      <c r="B1052" s="8" t="str">
        <f t="shared" si="19"/>
        <v/>
      </c>
    </row>
    <row r="1053" spans="1:2" x14ac:dyDescent="0.25">
      <c r="A1053" s="8"/>
      <c r="B1053" s="8" t="str">
        <f t="shared" si="19"/>
        <v/>
      </c>
    </row>
    <row r="1054" spans="1:2" x14ac:dyDescent="0.25">
      <c r="A1054" s="8"/>
      <c r="B1054" s="8" t="str">
        <f t="shared" si="19"/>
        <v/>
      </c>
    </row>
    <row r="1055" spans="1:2" x14ac:dyDescent="0.25">
      <c r="A1055" s="8"/>
      <c r="B1055" s="8" t="str">
        <f t="shared" si="19"/>
        <v/>
      </c>
    </row>
    <row r="1056" spans="1:2" x14ac:dyDescent="0.25">
      <c r="A1056" s="8"/>
      <c r="B1056" s="8" t="str">
        <f t="shared" si="19"/>
        <v/>
      </c>
    </row>
    <row r="1057" spans="1:2" x14ac:dyDescent="0.25">
      <c r="A1057" s="8"/>
      <c r="B1057" s="8" t="str">
        <f t="shared" si="19"/>
        <v/>
      </c>
    </row>
    <row r="1058" spans="1:2" x14ac:dyDescent="0.25">
      <c r="A1058" s="8"/>
      <c r="B1058" s="8" t="str">
        <f t="shared" si="19"/>
        <v/>
      </c>
    </row>
    <row r="1059" spans="1:2" x14ac:dyDescent="0.25">
      <c r="A1059" s="8"/>
      <c r="B1059" s="8" t="str">
        <f t="shared" si="19"/>
        <v/>
      </c>
    </row>
    <row r="1060" spans="1:2" x14ac:dyDescent="0.25">
      <c r="A1060" s="8"/>
      <c r="B1060" s="8" t="str">
        <f t="shared" si="19"/>
        <v/>
      </c>
    </row>
    <row r="1061" spans="1:2" x14ac:dyDescent="0.25">
      <c r="A1061" s="8"/>
      <c r="B1061" s="8" t="str">
        <f t="shared" si="19"/>
        <v/>
      </c>
    </row>
    <row r="1062" spans="1:2" x14ac:dyDescent="0.25">
      <c r="A1062" s="8"/>
      <c r="B1062" s="8" t="str">
        <f t="shared" si="19"/>
        <v/>
      </c>
    </row>
    <row r="1063" spans="1:2" x14ac:dyDescent="0.25">
      <c r="A1063" s="8"/>
      <c r="B1063" s="8" t="str">
        <f t="shared" si="19"/>
        <v/>
      </c>
    </row>
    <row r="1064" spans="1:2" x14ac:dyDescent="0.25">
      <c r="A1064" s="8"/>
      <c r="B1064" s="8" t="str">
        <f t="shared" si="19"/>
        <v/>
      </c>
    </row>
    <row r="1065" spans="1:2" x14ac:dyDescent="0.25">
      <c r="A1065" s="8"/>
      <c r="B1065" s="8" t="str">
        <f t="shared" si="19"/>
        <v/>
      </c>
    </row>
    <row r="1066" spans="1:2" x14ac:dyDescent="0.25">
      <c r="A1066" s="8"/>
      <c r="B1066" s="8" t="str">
        <f t="shared" si="19"/>
        <v/>
      </c>
    </row>
    <row r="1067" spans="1:2" x14ac:dyDescent="0.25">
      <c r="A1067" s="8"/>
      <c r="B1067" s="8" t="str">
        <f t="shared" si="19"/>
        <v/>
      </c>
    </row>
    <row r="1068" spans="1:2" x14ac:dyDescent="0.25">
      <c r="A1068" s="8"/>
      <c r="B1068" s="8" t="str">
        <f t="shared" si="19"/>
        <v/>
      </c>
    </row>
    <row r="1069" spans="1:2" x14ac:dyDescent="0.25">
      <c r="A1069" s="8"/>
      <c r="B1069" s="8" t="str">
        <f t="shared" si="19"/>
        <v/>
      </c>
    </row>
    <row r="1070" spans="1:2" x14ac:dyDescent="0.25">
      <c r="A1070" s="8"/>
      <c r="B1070" s="8" t="str">
        <f t="shared" si="19"/>
        <v/>
      </c>
    </row>
    <row r="1071" spans="1:2" x14ac:dyDescent="0.25">
      <c r="A1071" s="8"/>
      <c r="B1071" s="8" t="str">
        <f t="shared" si="19"/>
        <v/>
      </c>
    </row>
    <row r="1072" spans="1:2" x14ac:dyDescent="0.25">
      <c r="A1072" s="8"/>
      <c r="B1072" s="8" t="str">
        <f t="shared" si="19"/>
        <v/>
      </c>
    </row>
    <row r="1073" spans="1:2" x14ac:dyDescent="0.25">
      <c r="A1073" s="8"/>
      <c r="B1073" s="8" t="str">
        <f t="shared" si="19"/>
        <v/>
      </c>
    </row>
    <row r="1074" spans="1:2" x14ac:dyDescent="0.25">
      <c r="A1074" s="8"/>
      <c r="B1074" s="8" t="str">
        <f t="shared" si="19"/>
        <v/>
      </c>
    </row>
    <row r="1075" spans="1:2" x14ac:dyDescent="0.25">
      <c r="A1075" s="8"/>
      <c r="B1075" s="8" t="str">
        <f t="shared" si="19"/>
        <v/>
      </c>
    </row>
    <row r="1076" spans="1:2" x14ac:dyDescent="0.25">
      <c r="A1076" s="8"/>
      <c r="B1076" s="8" t="str">
        <f t="shared" si="19"/>
        <v/>
      </c>
    </row>
    <row r="1077" spans="1:2" x14ac:dyDescent="0.25">
      <c r="A1077" s="8"/>
      <c r="B1077" s="8" t="str">
        <f t="shared" si="19"/>
        <v/>
      </c>
    </row>
    <row r="1078" spans="1:2" x14ac:dyDescent="0.25">
      <c r="A1078" s="8"/>
      <c r="B1078" s="8" t="str">
        <f t="shared" si="19"/>
        <v/>
      </c>
    </row>
    <row r="1079" spans="1:2" x14ac:dyDescent="0.25">
      <c r="A1079" s="8"/>
      <c r="B1079" s="8" t="str">
        <f t="shared" si="19"/>
        <v/>
      </c>
    </row>
    <row r="1080" spans="1:2" x14ac:dyDescent="0.25">
      <c r="A1080" s="8"/>
      <c r="B1080" s="8" t="str">
        <f t="shared" si="19"/>
        <v/>
      </c>
    </row>
    <row r="1081" spans="1:2" x14ac:dyDescent="0.25">
      <c r="A1081" s="8"/>
      <c r="B1081" s="8" t="str">
        <f t="shared" si="19"/>
        <v/>
      </c>
    </row>
    <row r="1082" spans="1:2" x14ac:dyDescent="0.25">
      <c r="A1082" s="8"/>
      <c r="B1082" s="8" t="str">
        <f t="shared" si="19"/>
        <v/>
      </c>
    </row>
    <row r="1083" spans="1:2" x14ac:dyDescent="0.25">
      <c r="A1083" s="8"/>
      <c r="B1083" s="8" t="str">
        <f t="shared" si="19"/>
        <v/>
      </c>
    </row>
    <row r="1084" spans="1:2" x14ac:dyDescent="0.25">
      <c r="A1084" s="8"/>
      <c r="B1084" s="8" t="str">
        <f t="shared" si="19"/>
        <v/>
      </c>
    </row>
    <row r="1085" spans="1:2" x14ac:dyDescent="0.25">
      <c r="A1085" s="8"/>
      <c r="B1085" s="8" t="str">
        <f t="shared" si="19"/>
        <v/>
      </c>
    </row>
    <row r="1086" spans="1:2" x14ac:dyDescent="0.25">
      <c r="A1086" s="8"/>
      <c r="B1086" s="8" t="str">
        <f t="shared" si="19"/>
        <v/>
      </c>
    </row>
    <row r="1087" spans="1:2" x14ac:dyDescent="0.25">
      <c r="A1087" s="8"/>
      <c r="B1087" s="8" t="str">
        <f t="shared" si="19"/>
        <v/>
      </c>
    </row>
    <row r="1088" spans="1:2" x14ac:dyDescent="0.25">
      <c r="A1088" s="8"/>
      <c r="B1088" s="8" t="str">
        <f t="shared" si="19"/>
        <v/>
      </c>
    </row>
    <row r="1089" spans="1:2" x14ac:dyDescent="0.25">
      <c r="A1089" s="8"/>
      <c r="B1089" s="8" t="str">
        <f t="shared" si="19"/>
        <v/>
      </c>
    </row>
    <row r="1090" spans="1:2" x14ac:dyDescent="0.25">
      <c r="A1090" s="8"/>
      <c r="B1090" s="8" t="str">
        <f t="shared" si="19"/>
        <v/>
      </c>
    </row>
    <row r="1091" spans="1:2" x14ac:dyDescent="0.25">
      <c r="A1091" s="8"/>
      <c r="B1091" s="8" t="str">
        <f t="shared" si="19"/>
        <v/>
      </c>
    </row>
    <row r="1092" spans="1:2" x14ac:dyDescent="0.25">
      <c r="A1092" s="8"/>
      <c r="B1092" s="8" t="str">
        <f t="shared" ref="B1092:B1155" si="20">IF(A1092=0,"",41824+(ROUNDUP(DAYS360(41824,A1092)/7,0)*7))</f>
        <v/>
      </c>
    </row>
    <row r="1093" spans="1:2" x14ac:dyDescent="0.25">
      <c r="A1093" s="8"/>
      <c r="B1093" s="8" t="str">
        <f t="shared" si="20"/>
        <v/>
      </c>
    </row>
    <row r="1094" spans="1:2" x14ac:dyDescent="0.25">
      <c r="A1094" s="8"/>
      <c r="B1094" s="8" t="str">
        <f t="shared" si="20"/>
        <v/>
      </c>
    </row>
    <row r="1095" spans="1:2" x14ac:dyDescent="0.25">
      <c r="A1095" s="8"/>
      <c r="B1095" s="8" t="str">
        <f t="shared" si="20"/>
        <v/>
      </c>
    </row>
    <row r="1096" spans="1:2" x14ac:dyDescent="0.25">
      <c r="A1096" s="8"/>
      <c r="B1096" s="8" t="str">
        <f t="shared" si="20"/>
        <v/>
      </c>
    </row>
    <row r="1097" spans="1:2" x14ac:dyDescent="0.25">
      <c r="A1097" s="8"/>
      <c r="B1097" s="8" t="str">
        <f t="shared" si="20"/>
        <v/>
      </c>
    </row>
    <row r="1098" spans="1:2" x14ac:dyDescent="0.25">
      <c r="A1098" s="8"/>
      <c r="B1098" s="8" t="str">
        <f t="shared" si="20"/>
        <v/>
      </c>
    </row>
    <row r="1099" spans="1:2" x14ac:dyDescent="0.25">
      <c r="A1099" s="8"/>
      <c r="B1099" s="8" t="str">
        <f t="shared" si="20"/>
        <v/>
      </c>
    </row>
    <row r="1100" spans="1:2" x14ac:dyDescent="0.25">
      <c r="A1100" s="8"/>
      <c r="B1100" s="8" t="str">
        <f t="shared" si="20"/>
        <v/>
      </c>
    </row>
    <row r="1101" spans="1:2" x14ac:dyDescent="0.25">
      <c r="A1101" s="8"/>
      <c r="B1101" s="8" t="str">
        <f t="shared" si="20"/>
        <v/>
      </c>
    </row>
    <row r="1102" spans="1:2" x14ac:dyDescent="0.25">
      <c r="A1102" s="8"/>
      <c r="B1102" s="8" t="str">
        <f t="shared" si="20"/>
        <v/>
      </c>
    </row>
    <row r="1103" spans="1:2" x14ac:dyDescent="0.25">
      <c r="A1103" s="8"/>
      <c r="B1103" s="8" t="str">
        <f t="shared" si="20"/>
        <v/>
      </c>
    </row>
    <row r="1104" spans="1:2" x14ac:dyDescent="0.25">
      <c r="A1104" s="8"/>
      <c r="B1104" s="8" t="str">
        <f t="shared" si="20"/>
        <v/>
      </c>
    </row>
    <row r="1105" spans="1:2" x14ac:dyDescent="0.25">
      <c r="A1105" s="8"/>
      <c r="B1105" s="8" t="str">
        <f t="shared" si="20"/>
        <v/>
      </c>
    </row>
    <row r="1106" spans="1:2" x14ac:dyDescent="0.25">
      <c r="A1106" s="8"/>
      <c r="B1106" s="8" t="str">
        <f t="shared" si="20"/>
        <v/>
      </c>
    </row>
    <row r="1107" spans="1:2" x14ac:dyDescent="0.25">
      <c r="A1107" s="8"/>
      <c r="B1107" s="8" t="str">
        <f t="shared" si="20"/>
        <v/>
      </c>
    </row>
    <row r="1108" spans="1:2" x14ac:dyDescent="0.25">
      <c r="A1108" s="8"/>
      <c r="B1108" s="8" t="str">
        <f t="shared" si="20"/>
        <v/>
      </c>
    </row>
    <row r="1109" spans="1:2" x14ac:dyDescent="0.25">
      <c r="A1109" s="8"/>
      <c r="B1109" s="8" t="str">
        <f t="shared" si="20"/>
        <v/>
      </c>
    </row>
    <row r="1110" spans="1:2" x14ac:dyDescent="0.25">
      <c r="A1110" s="8"/>
      <c r="B1110" s="8" t="str">
        <f t="shared" si="20"/>
        <v/>
      </c>
    </row>
    <row r="1111" spans="1:2" x14ac:dyDescent="0.25">
      <c r="A1111" s="8"/>
      <c r="B1111" s="8" t="str">
        <f t="shared" si="20"/>
        <v/>
      </c>
    </row>
    <row r="1112" spans="1:2" x14ac:dyDescent="0.25">
      <c r="A1112" s="8"/>
      <c r="B1112" s="8" t="str">
        <f t="shared" si="20"/>
        <v/>
      </c>
    </row>
    <row r="1113" spans="1:2" x14ac:dyDescent="0.25">
      <c r="A1113" s="8"/>
      <c r="B1113" s="8" t="str">
        <f t="shared" si="20"/>
        <v/>
      </c>
    </row>
    <row r="1114" spans="1:2" x14ac:dyDescent="0.25">
      <c r="A1114" s="8"/>
      <c r="B1114" s="8" t="str">
        <f t="shared" si="20"/>
        <v/>
      </c>
    </row>
    <row r="1115" spans="1:2" x14ac:dyDescent="0.25">
      <c r="A1115" s="8"/>
      <c r="B1115" s="8" t="str">
        <f t="shared" si="20"/>
        <v/>
      </c>
    </row>
    <row r="1116" spans="1:2" x14ac:dyDescent="0.25">
      <c r="A1116" s="8"/>
      <c r="B1116" s="8" t="str">
        <f t="shared" si="20"/>
        <v/>
      </c>
    </row>
    <row r="1117" spans="1:2" x14ac:dyDescent="0.25">
      <c r="A1117" s="8"/>
      <c r="B1117" s="8" t="str">
        <f t="shared" si="20"/>
        <v/>
      </c>
    </row>
    <row r="1118" spans="1:2" x14ac:dyDescent="0.25">
      <c r="A1118" s="8"/>
      <c r="B1118" s="8" t="str">
        <f t="shared" si="20"/>
        <v/>
      </c>
    </row>
    <row r="1119" spans="1:2" x14ac:dyDescent="0.25">
      <c r="A1119" s="8"/>
      <c r="B1119" s="8" t="str">
        <f t="shared" si="20"/>
        <v/>
      </c>
    </row>
    <row r="1120" spans="1:2" x14ac:dyDescent="0.25">
      <c r="A1120" s="8"/>
      <c r="B1120" s="8" t="str">
        <f t="shared" si="20"/>
        <v/>
      </c>
    </row>
    <row r="1121" spans="1:2" x14ac:dyDescent="0.25">
      <c r="A1121" s="8"/>
      <c r="B1121" s="8" t="str">
        <f t="shared" si="20"/>
        <v/>
      </c>
    </row>
    <row r="1122" spans="1:2" x14ac:dyDescent="0.25">
      <c r="A1122" s="8"/>
      <c r="B1122" s="8" t="str">
        <f t="shared" si="20"/>
        <v/>
      </c>
    </row>
    <row r="1123" spans="1:2" x14ac:dyDescent="0.25">
      <c r="A1123" s="8"/>
      <c r="B1123" s="8" t="str">
        <f t="shared" si="20"/>
        <v/>
      </c>
    </row>
    <row r="1124" spans="1:2" x14ac:dyDescent="0.25">
      <c r="A1124" s="8"/>
      <c r="B1124" s="8" t="str">
        <f t="shared" si="20"/>
        <v/>
      </c>
    </row>
    <row r="1125" spans="1:2" x14ac:dyDescent="0.25">
      <c r="A1125" s="8"/>
      <c r="B1125" s="8" t="str">
        <f t="shared" si="20"/>
        <v/>
      </c>
    </row>
    <row r="1126" spans="1:2" x14ac:dyDescent="0.25">
      <c r="A1126" s="8"/>
      <c r="B1126" s="8" t="str">
        <f t="shared" si="20"/>
        <v/>
      </c>
    </row>
    <row r="1127" spans="1:2" x14ac:dyDescent="0.25">
      <c r="A1127" s="8"/>
      <c r="B1127" s="8" t="str">
        <f t="shared" si="20"/>
        <v/>
      </c>
    </row>
    <row r="1128" spans="1:2" x14ac:dyDescent="0.25">
      <c r="A1128" s="8"/>
      <c r="B1128" s="8" t="str">
        <f t="shared" si="20"/>
        <v/>
      </c>
    </row>
    <row r="1129" spans="1:2" x14ac:dyDescent="0.25">
      <c r="A1129" s="8"/>
      <c r="B1129" s="8" t="str">
        <f t="shared" si="20"/>
        <v/>
      </c>
    </row>
    <row r="1130" spans="1:2" x14ac:dyDescent="0.25">
      <c r="A1130" s="8"/>
      <c r="B1130" s="8" t="str">
        <f t="shared" si="20"/>
        <v/>
      </c>
    </row>
    <row r="1131" spans="1:2" x14ac:dyDescent="0.25">
      <c r="A1131" s="8"/>
      <c r="B1131" s="8" t="str">
        <f t="shared" si="20"/>
        <v/>
      </c>
    </row>
    <row r="1132" spans="1:2" x14ac:dyDescent="0.25">
      <c r="A1132" s="8"/>
      <c r="B1132" s="8" t="str">
        <f t="shared" si="20"/>
        <v/>
      </c>
    </row>
    <row r="1133" spans="1:2" x14ac:dyDescent="0.25">
      <c r="A1133" s="8"/>
      <c r="B1133" s="8" t="str">
        <f t="shared" si="20"/>
        <v/>
      </c>
    </row>
    <row r="1134" spans="1:2" x14ac:dyDescent="0.25">
      <c r="A1134" s="8"/>
      <c r="B1134" s="8" t="str">
        <f t="shared" si="20"/>
        <v/>
      </c>
    </row>
    <row r="1135" spans="1:2" x14ac:dyDescent="0.25">
      <c r="A1135" s="8"/>
      <c r="B1135" s="8" t="str">
        <f t="shared" si="20"/>
        <v/>
      </c>
    </row>
    <row r="1136" spans="1:2" x14ac:dyDescent="0.25">
      <c r="A1136" s="8"/>
      <c r="B1136" s="8" t="str">
        <f t="shared" si="20"/>
        <v/>
      </c>
    </row>
    <row r="1137" spans="1:2" x14ac:dyDescent="0.25">
      <c r="A1137" s="8"/>
      <c r="B1137" s="8" t="str">
        <f t="shared" si="20"/>
        <v/>
      </c>
    </row>
    <row r="1138" spans="1:2" x14ac:dyDescent="0.25">
      <c r="A1138" s="8"/>
      <c r="B1138" s="8" t="str">
        <f t="shared" si="20"/>
        <v/>
      </c>
    </row>
    <row r="1139" spans="1:2" x14ac:dyDescent="0.25">
      <c r="A1139" s="8"/>
      <c r="B1139" s="8" t="str">
        <f t="shared" si="20"/>
        <v/>
      </c>
    </row>
    <row r="1140" spans="1:2" x14ac:dyDescent="0.25">
      <c r="A1140" s="8"/>
      <c r="B1140" s="8" t="str">
        <f t="shared" si="20"/>
        <v/>
      </c>
    </row>
    <row r="1141" spans="1:2" x14ac:dyDescent="0.25">
      <c r="A1141" s="8"/>
      <c r="B1141" s="8" t="str">
        <f t="shared" si="20"/>
        <v/>
      </c>
    </row>
    <row r="1142" spans="1:2" x14ac:dyDescent="0.25">
      <c r="A1142" s="8"/>
      <c r="B1142" s="8" t="str">
        <f t="shared" si="20"/>
        <v/>
      </c>
    </row>
    <row r="1143" spans="1:2" x14ac:dyDescent="0.25">
      <c r="A1143" s="8"/>
      <c r="B1143" s="8" t="str">
        <f t="shared" si="20"/>
        <v/>
      </c>
    </row>
    <row r="1144" spans="1:2" x14ac:dyDescent="0.25">
      <c r="A1144" s="8"/>
      <c r="B1144" s="8" t="str">
        <f t="shared" si="20"/>
        <v/>
      </c>
    </row>
    <row r="1145" spans="1:2" x14ac:dyDescent="0.25">
      <c r="A1145" s="8"/>
      <c r="B1145" s="8" t="str">
        <f t="shared" si="20"/>
        <v/>
      </c>
    </row>
    <row r="1146" spans="1:2" x14ac:dyDescent="0.25">
      <c r="A1146" s="8"/>
      <c r="B1146" s="8" t="str">
        <f t="shared" si="20"/>
        <v/>
      </c>
    </row>
    <row r="1147" spans="1:2" x14ac:dyDescent="0.25">
      <c r="A1147" s="8"/>
      <c r="B1147" s="8" t="str">
        <f t="shared" si="20"/>
        <v/>
      </c>
    </row>
    <row r="1148" spans="1:2" x14ac:dyDescent="0.25">
      <c r="A1148" s="8"/>
      <c r="B1148" s="8" t="str">
        <f t="shared" si="20"/>
        <v/>
      </c>
    </row>
    <row r="1149" spans="1:2" x14ac:dyDescent="0.25">
      <c r="A1149" s="8"/>
      <c r="B1149" s="8" t="str">
        <f t="shared" si="20"/>
        <v/>
      </c>
    </row>
    <row r="1150" spans="1:2" x14ac:dyDescent="0.25">
      <c r="A1150" s="8"/>
      <c r="B1150" s="8" t="str">
        <f t="shared" si="20"/>
        <v/>
      </c>
    </row>
    <row r="1151" spans="1:2" x14ac:dyDescent="0.25">
      <c r="A1151" s="8"/>
      <c r="B1151" s="8" t="str">
        <f t="shared" si="20"/>
        <v/>
      </c>
    </row>
    <row r="1152" spans="1:2" x14ac:dyDescent="0.25">
      <c r="A1152" s="8"/>
      <c r="B1152" s="8" t="str">
        <f t="shared" si="20"/>
        <v/>
      </c>
    </row>
    <row r="1153" spans="1:2" x14ac:dyDescent="0.25">
      <c r="A1153" s="8"/>
      <c r="B1153" s="8" t="str">
        <f t="shared" si="20"/>
        <v/>
      </c>
    </row>
    <row r="1154" spans="1:2" x14ac:dyDescent="0.25">
      <c r="A1154" s="8"/>
      <c r="B1154" s="8" t="str">
        <f t="shared" si="20"/>
        <v/>
      </c>
    </row>
    <row r="1155" spans="1:2" x14ac:dyDescent="0.25">
      <c r="A1155" s="8"/>
      <c r="B1155" s="8" t="str">
        <f t="shared" si="20"/>
        <v/>
      </c>
    </row>
    <row r="1156" spans="1:2" x14ac:dyDescent="0.25">
      <c r="A1156" s="8"/>
      <c r="B1156" s="8" t="str">
        <f t="shared" ref="B1156:B1219" si="21">IF(A1156=0,"",41824+(ROUNDUP(DAYS360(41824,A1156)/7,0)*7))</f>
        <v/>
      </c>
    </row>
    <row r="1157" spans="1:2" x14ac:dyDescent="0.25">
      <c r="A1157" s="8"/>
      <c r="B1157" s="8" t="str">
        <f t="shared" si="21"/>
        <v/>
      </c>
    </row>
    <row r="1158" spans="1:2" x14ac:dyDescent="0.25">
      <c r="A1158" s="8"/>
      <c r="B1158" s="8" t="str">
        <f t="shared" si="21"/>
        <v/>
      </c>
    </row>
    <row r="1159" spans="1:2" x14ac:dyDescent="0.25">
      <c r="A1159" s="8"/>
      <c r="B1159" s="8" t="str">
        <f t="shared" si="21"/>
        <v/>
      </c>
    </row>
    <row r="1160" spans="1:2" x14ac:dyDescent="0.25">
      <c r="A1160" s="8"/>
      <c r="B1160" s="8" t="str">
        <f t="shared" si="21"/>
        <v/>
      </c>
    </row>
    <row r="1161" spans="1:2" x14ac:dyDescent="0.25">
      <c r="A1161" s="8"/>
      <c r="B1161" s="8" t="str">
        <f t="shared" si="21"/>
        <v/>
      </c>
    </row>
    <row r="1162" spans="1:2" x14ac:dyDescent="0.25">
      <c r="A1162" s="8"/>
      <c r="B1162" s="8" t="str">
        <f t="shared" si="21"/>
        <v/>
      </c>
    </row>
    <row r="1163" spans="1:2" x14ac:dyDescent="0.25">
      <c r="A1163" s="8"/>
      <c r="B1163" s="8" t="str">
        <f t="shared" si="21"/>
        <v/>
      </c>
    </row>
    <row r="1164" spans="1:2" x14ac:dyDescent="0.25">
      <c r="A1164" s="8"/>
      <c r="B1164" s="8" t="str">
        <f t="shared" si="21"/>
        <v/>
      </c>
    </row>
    <row r="1165" spans="1:2" x14ac:dyDescent="0.25">
      <c r="A1165" s="8"/>
      <c r="B1165" s="8" t="str">
        <f t="shared" si="21"/>
        <v/>
      </c>
    </row>
    <row r="1166" spans="1:2" x14ac:dyDescent="0.25">
      <c r="A1166" s="8"/>
      <c r="B1166" s="8" t="str">
        <f t="shared" si="21"/>
        <v/>
      </c>
    </row>
    <row r="1167" spans="1:2" x14ac:dyDescent="0.25">
      <c r="A1167" s="8"/>
      <c r="B1167" s="8" t="str">
        <f t="shared" si="21"/>
        <v/>
      </c>
    </row>
    <row r="1168" spans="1:2" x14ac:dyDescent="0.25">
      <c r="A1168" s="8"/>
      <c r="B1168" s="8" t="str">
        <f t="shared" si="21"/>
        <v/>
      </c>
    </row>
    <row r="1169" spans="1:2" x14ac:dyDescent="0.25">
      <c r="A1169" s="8"/>
      <c r="B1169" s="8" t="str">
        <f t="shared" si="21"/>
        <v/>
      </c>
    </row>
    <row r="1170" spans="1:2" x14ac:dyDescent="0.25">
      <c r="A1170" s="8"/>
      <c r="B1170" s="8" t="str">
        <f t="shared" si="21"/>
        <v/>
      </c>
    </row>
    <row r="1171" spans="1:2" x14ac:dyDescent="0.25">
      <c r="A1171" s="8"/>
      <c r="B1171" s="8" t="str">
        <f t="shared" si="21"/>
        <v/>
      </c>
    </row>
    <row r="1172" spans="1:2" x14ac:dyDescent="0.25">
      <c r="A1172" s="8"/>
      <c r="B1172" s="8" t="str">
        <f t="shared" si="21"/>
        <v/>
      </c>
    </row>
    <row r="1173" spans="1:2" x14ac:dyDescent="0.25">
      <c r="A1173" s="8"/>
      <c r="B1173" s="8" t="str">
        <f t="shared" si="21"/>
        <v/>
      </c>
    </row>
    <row r="1174" spans="1:2" x14ac:dyDescent="0.25">
      <c r="A1174" s="8"/>
      <c r="B1174" s="8" t="str">
        <f t="shared" si="21"/>
        <v/>
      </c>
    </row>
    <row r="1175" spans="1:2" x14ac:dyDescent="0.25">
      <c r="A1175" s="8"/>
      <c r="B1175" s="8" t="str">
        <f t="shared" si="21"/>
        <v/>
      </c>
    </row>
    <row r="1176" spans="1:2" x14ac:dyDescent="0.25">
      <c r="A1176" s="8"/>
      <c r="B1176" s="8" t="str">
        <f t="shared" si="21"/>
        <v/>
      </c>
    </row>
    <row r="1177" spans="1:2" x14ac:dyDescent="0.25">
      <c r="A1177" s="8"/>
      <c r="B1177" s="8" t="str">
        <f t="shared" si="21"/>
        <v/>
      </c>
    </row>
    <row r="1178" spans="1:2" x14ac:dyDescent="0.25">
      <c r="A1178" s="8"/>
      <c r="B1178" s="8" t="str">
        <f t="shared" si="21"/>
        <v/>
      </c>
    </row>
    <row r="1179" spans="1:2" x14ac:dyDescent="0.25">
      <c r="A1179" s="8"/>
      <c r="B1179" s="8" t="str">
        <f t="shared" si="21"/>
        <v/>
      </c>
    </row>
    <row r="1180" spans="1:2" x14ac:dyDescent="0.25">
      <c r="A1180" s="8"/>
      <c r="B1180" s="8" t="str">
        <f t="shared" si="21"/>
        <v/>
      </c>
    </row>
    <row r="1181" spans="1:2" x14ac:dyDescent="0.25">
      <c r="A1181" s="8"/>
      <c r="B1181" s="8" t="str">
        <f t="shared" si="21"/>
        <v/>
      </c>
    </row>
    <row r="1182" spans="1:2" x14ac:dyDescent="0.25">
      <c r="A1182" s="8"/>
      <c r="B1182" s="8" t="str">
        <f t="shared" si="21"/>
        <v/>
      </c>
    </row>
    <row r="1183" spans="1:2" x14ac:dyDescent="0.25">
      <c r="A1183" s="8"/>
      <c r="B1183" s="8" t="str">
        <f t="shared" si="21"/>
        <v/>
      </c>
    </row>
    <row r="1184" spans="1:2" x14ac:dyDescent="0.25">
      <c r="A1184" s="8"/>
      <c r="B1184" s="8" t="str">
        <f t="shared" si="21"/>
        <v/>
      </c>
    </row>
    <row r="1185" spans="1:2" x14ac:dyDescent="0.25">
      <c r="A1185" s="8"/>
      <c r="B1185" s="8" t="str">
        <f t="shared" si="21"/>
        <v/>
      </c>
    </row>
    <row r="1186" spans="1:2" x14ac:dyDescent="0.25">
      <c r="A1186" s="8"/>
      <c r="B1186" s="8" t="str">
        <f t="shared" si="21"/>
        <v/>
      </c>
    </row>
    <row r="1187" spans="1:2" x14ac:dyDescent="0.25">
      <c r="A1187" s="8"/>
      <c r="B1187" s="8" t="str">
        <f t="shared" si="21"/>
        <v/>
      </c>
    </row>
    <row r="1188" spans="1:2" x14ac:dyDescent="0.25">
      <c r="A1188" s="8"/>
      <c r="B1188" s="8" t="str">
        <f t="shared" si="21"/>
        <v/>
      </c>
    </row>
    <row r="1189" spans="1:2" x14ac:dyDescent="0.25">
      <c r="A1189" s="8"/>
      <c r="B1189" s="8" t="str">
        <f t="shared" si="21"/>
        <v/>
      </c>
    </row>
    <row r="1190" spans="1:2" x14ac:dyDescent="0.25">
      <c r="A1190" s="8"/>
      <c r="B1190" s="8" t="str">
        <f t="shared" si="21"/>
        <v/>
      </c>
    </row>
    <row r="1191" spans="1:2" x14ac:dyDescent="0.25">
      <c r="A1191" s="8"/>
      <c r="B1191" s="8" t="str">
        <f t="shared" si="21"/>
        <v/>
      </c>
    </row>
    <row r="1192" spans="1:2" x14ac:dyDescent="0.25">
      <c r="A1192" s="8"/>
      <c r="B1192" s="8" t="str">
        <f t="shared" si="21"/>
        <v/>
      </c>
    </row>
    <row r="1193" spans="1:2" x14ac:dyDescent="0.25">
      <c r="A1193" s="8"/>
      <c r="B1193" s="8" t="str">
        <f t="shared" si="21"/>
        <v/>
      </c>
    </row>
    <row r="1194" spans="1:2" x14ac:dyDescent="0.25">
      <c r="A1194" s="8"/>
      <c r="B1194" s="8" t="str">
        <f t="shared" si="21"/>
        <v/>
      </c>
    </row>
    <row r="1195" spans="1:2" x14ac:dyDescent="0.25">
      <c r="A1195" s="8"/>
      <c r="B1195" s="8" t="str">
        <f t="shared" si="21"/>
        <v/>
      </c>
    </row>
    <row r="1196" spans="1:2" x14ac:dyDescent="0.25">
      <c r="A1196" s="8"/>
      <c r="B1196" s="8" t="str">
        <f t="shared" si="21"/>
        <v/>
      </c>
    </row>
    <row r="1197" spans="1:2" x14ac:dyDescent="0.25">
      <c r="A1197" s="8"/>
      <c r="B1197" s="8" t="str">
        <f t="shared" si="21"/>
        <v/>
      </c>
    </row>
    <row r="1198" spans="1:2" x14ac:dyDescent="0.25">
      <c r="A1198" s="8"/>
      <c r="B1198" s="8" t="str">
        <f t="shared" si="21"/>
        <v/>
      </c>
    </row>
    <row r="1199" spans="1:2" x14ac:dyDescent="0.25">
      <c r="A1199" s="8"/>
      <c r="B1199" s="8" t="str">
        <f t="shared" si="21"/>
        <v/>
      </c>
    </row>
    <row r="1200" spans="1:2" x14ac:dyDescent="0.25">
      <c r="A1200" s="8"/>
      <c r="B1200" s="8" t="str">
        <f t="shared" si="21"/>
        <v/>
      </c>
    </row>
    <row r="1201" spans="1:2" x14ac:dyDescent="0.25">
      <c r="A1201" s="8"/>
      <c r="B1201" s="8" t="str">
        <f t="shared" si="21"/>
        <v/>
      </c>
    </row>
    <row r="1202" spans="1:2" x14ac:dyDescent="0.25">
      <c r="A1202" s="8"/>
      <c r="B1202" s="8" t="str">
        <f t="shared" si="21"/>
        <v/>
      </c>
    </row>
    <row r="1203" spans="1:2" x14ac:dyDescent="0.25">
      <c r="A1203" s="8"/>
      <c r="B1203" s="8" t="str">
        <f t="shared" si="21"/>
        <v/>
      </c>
    </row>
    <row r="1204" spans="1:2" x14ac:dyDescent="0.25">
      <c r="A1204" s="8"/>
      <c r="B1204" s="8" t="str">
        <f t="shared" si="21"/>
        <v/>
      </c>
    </row>
    <row r="1205" spans="1:2" x14ac:dyDescent="0.25">
      <c r="A1205" s="8"/>
      <c r="B1205" s="8" t="str">
        <f t="shared" si="21"/>
        <v/>
      </c>
    </row>
    <row r="1206" spans="1:2" x14ac:dyDescent="0.25">
      <c r="A1206" s="8"/>
      <c r="B1206" s="8" t="str">
        <f t="shared" si="21"/>
        <v/>
      </c>
    </row>
    <row r="1207" spans="1:2" x14ac:dyDescent="0.25">
      <c r="A1207" s="8"/>
      <c r="B1207" s="8" t="str">
        <f t="shared" si="21"/>
        <v/>
      </c>
    </row>
    <row r="1208" spans="1:2" x14ac:dyDescent="0.25">
      <c r="A1208" s="8"/>
      <c r="B1208" s="8" t="str">
        <f t="shared" si="21"/>
        <v/>
      </c>
    </row>
    <row r="1209" spans="1:2" x14ac:dyDescent="0.25">
      <c r="A1209" s="8"/>
      <c r="B1209" s="8" t="str">
        <f t="shared" si="21"/>
        <v/>
      </c>
    </row>
    <row r="1210" spans="1:2" x14ac:dyDescent="0.25">
      <c r="A1210" s="8"/>
      <c r="B1210" s="8" t="str">
        <f t="shared" si="21"/>
        <v/>
      </c>
    </row>
    <row r="1211" spans="1:2" x14ac:dyDescent="0.25">
      <c r="A1211" s="8"/>
      <c r="B1211" s="8" t="str">
        <f t="shared" si="21"/>
        <v/>
      </c>
    </row>
    <row r="1212" spans="1:2" x14ac:dyDescent="0.25">
      <c r="A1212" s="8"/>
      <c r="B1212" s="8" t="str">
        <f t="shared" si="21"/>
        <v/>
      </c>
    </row>
    <row r="1213" spans="1:2" x14ac:dyDescent="0.25">
      <c r="A1213" s="8"/>
      <c r="B1213" s="8" t="str">
        <f t="shared" si="21"/>
        <v/>
      </c>
    </row>
    <row r="1214" spans="1:2" x14ac:dyDescent="0.25">
      <c r="A1214" s="8"/>
      <c r="B1214" s="8" t="str">
        <f t="shared" si="21"/>
        <v/>
      </c>
    </row>
    <row r="1215" spans="1:2" x14ac:dyDescent="0.25">
      <c r="A1215" s="8"/>
      <c r="B1215" s="8" t="str">
        <f t="shared" si="21"/>
        <v/>
      </c>
    </row>
    <row r="1216" spans="1:2" x14ac:dyDescent="0.25">
      <c r="A1216" s="8"/>
      <c r="B1216" s="8" t="str">
        <f t="shared" si="21"/>
        <v/>
      </c>
    </row>
    <row r="1217" spans="1:2" x14ac:dyDescent="0.25">
      <c r="A1217" s="8"/>
      <c r="B1217" s="8" t="str">
        <f t="shared" si="21"/>
        <v/>
      </c>
    </row>
    <row r="1218" spans="1:2" x14ac:dyDescent="0.25">
      <c r="A1218" s="8"/>
      <c r="B1218" s="8" t="str">
        <f t="shared" si="21"/>
        <v/>
      </c>
    </row>
    <row r="1219" spans="1:2" x14ac:dyDescent="0.25">
      <c r="A1219" s="8"/>
      <c r="B1219" s="8" t="str">
        <f t="shared" si="21"/>
        <v/>
      </c>
    </row>
    <row r="1220" spans="1:2" x14ac:dyDescent="0.25">
      <c r="A1220" s="8"/>
      <c r="B1220" s="8" t="str">
        <f t="shared" ref="B1220:B1283" si="22">IF(A1220=0,"",41824+(ROUNDUP(DAYS360(41824,A1220)/7,0)*7))</f>
        <v/>
      </c>
    </row>
    <row r="1221" spans="1:2" x14ac:dyDescent="0.25">
      <c r="A1221" s="8"/>
      <c r="B1221" s="8" t="str">
        <f t="shared" si="22"/>
        <v/>
      </c>
    </row>
    <row r="1222" spans="1:2" x14ac:dyDescent="0.25">
      <c r="A1222" s="8"/>
      <c r="B1222" s="8" t="str">
        <f t="shared" si="22"/>
        <v/>
      </c>
    </row>
    <row r="1223" spans="1:2" x14ac:dyDescent="0.25">
      <c r="A1223" s="8"/>
      <c r="B1223" s="8" t="str">
        <f t="shared" si="22"/>
        <v/>
      </c>
    </row>
    <row r="1224" spans="1:2" x14ac:dyDescent="0.25">
      <c r="A1224" s="8"/>
      <c r="B1224" s="8" t="str">
        <f t="shared" si="22"/>
        <v/>
      </c>
    </row>
    <row r="1225" spans="1:2" x14ac:dyDescent="0.25">
      <c r="A1225" s="8"/>
      <c r="B1225" s="8" t="str">
        <f t="shared" si="22"/>
        <v/>
      </c>
    </row>
    <row r="1226" spans="1:2" x14ac:dyDescent="0.25">
      <c r="A1226" s="8"/>
      <c r="B1226" s="8" t="str">
        <f t="shared" si="22"/>
        <v/>
      </c>
    </row>
    <row r="1227" spans="1:2" x14ac:dyDescent="0.25">
      <c r="A1227" s="8"/>
      <c r="B1227" s="8" t="str">
        <f t="shared" si="22"/>
        <v/>
      </c>
    </row>
    <row r="1228" spans="1:2" x14ac:dyDescent="0.25">
      <c r="A1228" s="8"/>
      <c r="B1228" s="8" t="str">
        <f t="shared" si="22"/>
        <v/>
      </c>
    </row>
    <row r="1229" spans="1:2" x14ac:dyDescent="0.25">
      <c r="A1229" s="8"/>
      <c r="B1229" s="8" t="str">
        <f t="shared" si="22"/>
        <v/>
      </c>
    </row>
    <row r="1230" spans="1:2" x14ac:dyDescent="0.25">
      <c r="A1230" s="8"/>
      <c r="B1230" s="8" t="str">
        <f t="shared" si="22"/>
        <v/>
      </c>
    </row>
    <row r="1231" spans="1:2" x14ac:dyDescent="0.25">
      <c r="A1231" s="8"/>
      <c r="B1231" s="8" t="str">
        <f t="shared" si="22"/>
        <v/>
      </c>
    </row>
    <row r="1232" spans="1:2" x14ac:dyDescent="0.25">
      <c r="A1232" s="8"/>
      <c r="B1232" s="8" t="str">
        <f t="shared" si="22"/>
        <v/>
      </c>
    </row>
    <row r="1233" spans="1:2" x14ac:dyDescent="0.25">
      <c r="A1233" s="8"/>
      <c r="B1233" s="8" t="str">
        <f t="shared" si="22"/>
        <v/>
      </c>
    </row>
    <row r="1234" spans="1:2" x14ac:dyDescent="0.25">
      <c r="A1234" s="8"/>
      <c r="B1234" s="8" t="str">
        <f t="shared" si="22"/>
        <v/>
      </c>
    </row>
    <row r="1235" spans="1:2" x14ac:dyDescent="0.25">
      <c r="A1235" s="8"/>
      <c r="B1235" s="8" t="str">
        <f t="shared" si="22"/>
        <v/>
      </c>
    </row>
    <row r="1236" spans="1:2" x14ac:dyDescent="0.25">
      <c r="A1236" s="8"/>
      <c r="B1236" s="8" t="str">
        <f t="shared" si="22"/>
        <v/>
      </c>
    </row>
    <row r="1237" spans="1:2" x14ac:dyDescent="0.25">
      <c r="A1237" s="8"/>
      <c r="B1237" s="8" t="str">
        <f t="shared" si="22"/>
        <v/>
      </c>
    </row>
    <row r="1238" spans="1:2" x14ac:dyDescent="0.25">
      <c r="A1238" s="8"/>
      <c r="B1238" s="8" t="str">
        <f t="shared" si="22"/>
        <v/>
      </c>
    </row>
    <row r="1239" spans="1:2" x14ac:dyDescent="0.25">
      <c r="A1239" s="8"/>
      <c r="B1239" s="8" t="str">
        <f t="shared" si="22"/>
        <v/>
      </c>
    </row>
    <row r="1240" spans="1:2" x14ac:dyDescent="0.25">
      <c r="A1240" s="8"/>
      <c r="B1240" s="8" t="str">
        <f t="shared" si="22"/>
        <v/>
      </c>
    </row>
    <row r="1241" spans="1:2" x14ac:dyDescent="0.25">
      <c r="A1241" s="8"/>
      <c r="B1241" s="8" t="str">
        <f t="shared" si="22"/>
        <v/>
      </c>
    </row>
    <row r="1242" spans="1:2" x14ac:dyDescent="0.25">
      <c r="A1242" s="8"/>
      <c r="B1242" s="8" t="str">
        <f t="shared" si="22"/>
        <v/>
      </c>
    </row>
    <row r="1243" spans="1:2" x14ac:dyDescent="0.25">
      <c r="A1243" s="8"/>
      <c r="B1243" s="8" t="str">
        <f t="shared" si="22"/>
        <v/>
      </c>
    </row>
    <row r="1244" spans="1:2" x14ac:dyDescent="0.25">
      <c r="A1244" s="8"/>
      <c r="B1244" s="8" t="str">
        <f t="shared" si="22"/>
        <v/>
      </c>
    </row>
    <row r="1245" spans="1:2" x14ac:dyDescent="0.25">
      <c r="A1245" s="8"/>
      <c r="B1245" s="8" t="str">
        <f t="shared" si="22"/>
        <v/>
      </c>
    </row>
    <row r="1246" spans="1:2" x14ac:dyDescent="0.25">
      <c r="A1246" s="8"/>
      <c r="B1246" s="8" t="str">
        <f t="shared" si="22"/>
        <v/>
      </c>
    </row>
    <row r="1247" spans="1:2" x14ac:dyDescent="0.25">
      <c r="A1247" s="8"/>
      <c r="B1247" s="8" t="str">
        <f t="shared" si="22"/>
        <v/>
      </c>
    </row>
    <row r="1248" spans="1:2" x14ac:dyDescent="0.25">
      <c r="A1248" s="8"/>
      <c r="B1248" s="8" t="str">
        <f t="shared" si="22"/>
        <v/>
      </c>
    </row>
    <row r="1249" spans="1:2" x14ac:dyDescent="0.25">
      <c r="A1249" s="8"/>
      <c r="B1249" s="8" t="str">
        <f t="shared" si="22"/>
        <v/>
      </c>
    </row>
    <row r="1250" spans="1:2" x14ac:dyDescent="0.25">
      <c r="A1250" s="8"/>
      <c r="B1250" s="8" t="str">
        <f t="shared" si="22"/>
        <v/>
      </c>
    </row>
    <row r="1251" spans="1:2" x14ac:dyDescent="0.25">
      <c r="A1251" s="8"/>
      <c r="B1251" s="8" t="str">
        <f t="shared" si="22"/>
        <v/>
      </c>
    </row>
    <row r="1252" spans="1:2" x14ac:dyDescent="0.25">
      <c r="A1252" s="8"/>
      <c r="B1252" s="8" t="str">
        <f t="shared" si="22"/>
        <v/>
      </c>
    </row>
    <row r="1253" spans="1:2" x14ac:dyDescent="0.25">
      <c r="A1253" s="8"/>
      <c r="B1253" s="8" t="str">
        <f t="shared" si="22"/>
        <v/>
      </c>
    </row>
    <row r="1254" spans="1:2" x14ac:dyDescent="0.25">
      <c r="A1254" s="8"/>
      <c r="B1254" s="8" t="str">
        <f t="shared" si="22"/>
        <v/>
      </c>
    </row>
    <row r="1255" spans="1:2" x14ac:dyDescent="0.25">
      <c r="A1255" s="8"/>
      <c r="B1255" s="8" t="str">
        <f t="shared" si="22"/>
        <v/>
      </c>
    </row>
    <row r="1256" spans="1:2" x14ac:dyDescent="0.25">
      <c r="A1256" s="8"/>
      <c r="B1256" s="8" t="str">
        <f t="shared" si="22"/>
        <v/>
      </c>
    </row>
    <row r="1257" spans="1:2" x14ac:dyDescent="0.25">
      <c r="A1257" s="8"/>
      <c r="B1257" s="8" t="str">
        <f t="shared" si="22"/>
        <v/>
      </c>
    </row>
    <row r="1258" spans="1:2" x14ac:dyDescent="0.25">
      <c r="A1258" s="8"/>
      <c r="B1258" s="8" t="str">
        <f t="shared" si="22"/>
        <v/>
      </c>
    </row>
    <row r="1259" spans="1:2" x14ac:dyDescent="0.25">
      <c r="A1259" s="8"/>
      <c r="B1259" s="8" t="str">
        <f t="shared" si="22"/>
        <v/>
      </c>
    </row>
    <row r="1260" spans="1:2" x14ac:dyDescent="0.25">
      <c r="A1260" s="8"/>
      <c r="B1260" s="8" t="str">
        <f t="shared" si="22"/>
        <v/>
      </c>
    </row>
    <row r="1261" spans="1:2" x14ac:dyDescent="0.25">
      <c r="A1261" s="8"/>
      <c r="B1261" s="8" t="str">
        <f t="shared" si="22"/>
        <v/>
      </c>
    </row>
    <row r="1262" spans="1:2" x14ac:dyDescent="0.25">
      <c r="A1262" s="8"/>
      <c r="B1262" s="8" t="str">
        <f t="shared" si="22"/>
        <v/>
      </c>
    </row>
    <row r="1263" spans="1:2" x14ac:dyDescent="0.25">
      <c r="A1263" s="8"/>
      <c r="B1263" s="8" t="str">
        <f t="shared" si="22"/>
        <v/>
      </c>
    </row>
    <row r="1264" spans="1:2" x14ac:dyDescent="0.25">
      <c r="A1264" s="8"/>
      <c r="B1264" s="8" t="str">
        <f t="shared" si="22"/>
        <v/>
      </c>
    </row>
    <row r="1265" spans="1:2" x14ac:dyDescent="0.25">
      <c r="A1265" s="8"/>
      <c r="B1265" s="8" t="str">
        <f t="shared" si="22"/>
        <v/>
      </c>
    </row>
    <row r="1266" spans="1:2" x14ac:dyDescent="0.25">
      <c r="A1266" s="8"/>
      <c r="B1266" s="8" t="str">
        <f t="shared" si="22"/>
        <v/>
      </c>
    </row>
    <row r="1267" spans="1:2" x14ac:dyDescent="0.25">
      <c r="A1267" s="8"/>
      <c r="B1267" s="8" t="str">
        <f t="shared" si="22"/>
        <v/>
      </c>
    </row>
    <row r="1268" spans="1:2" x14ac:dyDescent="0.25">
      <c r="A1268" s="8"/>
      <c r="B1268" s="8" t="str">
        <f t="shared" si="22"/>
        <v/>
      </c>
    </row>
    <row r="1269" spans="1:2" x14ac:dyDescent="0.25">
      <c r="A1269" s="8"/>
      <c r="B1269" s="8" t="str">
        <f t="shared" si="22"/>
        <v/>
      </c>
    </row>
    <row r="1270" spans="1:2" x14ac:dyDescent="0.25">
      <c r="A1270" s="8"/>
      <c r="B1270" s="8" t="str">
        <f t="shared" si="22"/>
        <v/>
      </c>
    </row>
    <row r="1271" spans="1:2" x14ac:dyDescent="0.25">
      <c r="A1271" s="8"/>
      <c r="B1271" s="8" t="str">
        <f t="shared" si="22"/>
        <v/>
      </c>
    </row>
    <row r="1272" spans="1:2" x14ac:dyDescent="0.25">
      <c r="A1272" s="8"/>
      <c r="B1272" s="8" t="str">
        <f t="shared" si="22"/>
        <v/>
      </c>
    </row>
    <row r="1273" spans="1:2" x14ac:dyDescent="0.25">
      <c r="A1273" s="8"/>
      <c r="B1273" s="8" t="str">
        <f t="shared" si="22"/>
        <v/>
      </c>
    </row>
    <row r="1274" spans="1:2" x14ac:dyDescent="0.25">
      <c r="A1274" s="8"/>
      <c r="B1274" s="8" t="str">
        <f t="shared" si="22"/>
        <v/>
      </c>
    </row>
    <row r="1275" spans="1:2" x14ac:dyDescent="0.25">
      <c r="A1275" s="8"/>
      <c r="B1275" s="8" t="str">
        <f t="shared" si="22"/>
        <v/>
      </c>
    </row>
    <row r="1276" spans="1:2" x14ac:dyDescent="0.25">
      <c r="A1276" s="8"/>
      <c r="B1276" s="8" t="str">
        <f t="shared" si="22"/>
        <v/>
      </c>
    </row>
    <row r="1277" spans="1:2" x14ac:dyDescent="0.25">
      <c r="A1277" s="8"/>
      <c r="B1277" s="8" t="str">
        <f t="shared" si="22"/>
        <v/>
      </c>
    </row>
    <row r="1278" spans="1:2" x14ac:dyDescent="0.25">
      <c r="A1278" s="8"/>
      <c r="B1278" s="8" t="str">
        <f t="shared" si="22"/>
        <v/>
      </c>
    </row>
    <row r="1279" spans="1:2" x14ac:dyDescent="0.25">
      <c r="A1279" s="8"/>
      <c r="B1279" s="8" t="str">
        <f t="shared" si="22"/>
        <v/>
      </c>
    </row>
    <row r="1280" spans="1:2" x14ac:dyDescent="0.25">
      <c r="A1280" s="8"/>
      <c r="B1280" s="8" t="str">
        <f t="shared" si="22"/>
        <v/>
      </c>
    </row>
    <row r="1281" spans="1:2" x14ac:dyDescent="0.25">
      <c r="A1281" s="8"/>
      <c r="B1281" s="8" t="str">
        <f t="shared" si="22"/>
        <v/>
      </c>
    </row>
    <row r="1282" spans="1:2" x14ac:dyDescent="0.25">
      <c r="A1282" s="8"/>
      <c r="B1282" s="8" t="str">
        <f t="shared" si="22"/>
        <v/>
      </c>
    </row>
    <row r="1283" spans="1:2" x14ac:dyDescent="0.25">
      <c r="A1283" s="8"/>
      <c r="B1283" s="8" t="str">
        <f t="shared" si="22"/>
        <v/>
      </c>
    </row>
    <row r="1284" spans="1:2" x14ac:dyDescent="0.25">
      <c r="A1284" s="8"/>
      <c r="B1284" s="8" t="str">
        <f t="shared" ref="B1284:B1347" si="23">IF(A1284=0,"",41824+(ROUNDUP(DAYS360(41824,A1284)/7,0)*7))</f>
        <v/>
      </c>
    </row>
    <row r="1285" spans="1:2" x14ac:dyDescent="0.25">
      <c r="A1285" s="8"/>
      <c r="B1285" s="8" t="str">
        <f t="shared" si="23"/>
        <v/>
      </c>
    </row>
    <row r="1286" spans="1:2" x14ac:dyDescent="0.25">
      <c r="A1286" s="8"/>
      <c r="B1286" s="8" t="str">
        <f t="shared" si="23"/>
        <v/>
      </c>
    </row>
    <row r="1287" spans="1:2" x14ac:dyDescent="0.25">
      <c r="A1287" s="8"/>
      <c r="B1287" s="8" t="str">
        <f t="shared" si="23"/>
        <v/>
      </c>
    </row>
    <row r="1288" spans="1:2" x14ac:dyDescent="0.25">
      <c r="A1288" s="8"/>
      <c r="B1288" s="8" t="str">
        <f t="shared" si="23"/>
        <v/>
      </c>
    </row>
    <row r="1289" spans="1:2" x14ac:dyDescent="0.25">
      <c r="A1289" s="8"/>
      <c r="B1289" s="8" t="str">
        <f t="shared" si="23"/>
        <v/>
      </c>
    </row>
    <row r="1290" spans="1:2" x14ac:dyDescent="0.25">
      <c r="A1290" s="8"/>
      <c r="B1290" s="8" t="str">
        <f t="shared" si="23"/>
        <v/>
      </c>
    </row>
    <row r="1291" spans="1:2" x14ac:dyDescent="0.25">
      <c r="A1291" s="8"/>
      <c r="B1291" s="8" t="str">
        <f t="shared" si="23"/>
        <v/>
      </c>
    </row>
    <row r="1292" spans="1:2" x14ac:dyDescent="0.25">
      <c r="A1292" s="8"/>
      <c r="B1292" s="8" t="str">
        <f t="shared" si="23"/>
        <v/>
      </c>
    </row>
    <row r="1293" spans="1:2" x14ac:dyDescent="0.25">
      <c r="A1293" s="8"/>
      <c r="B1293" s="8" t="str">
        <f t="shared" si="23"/>
        <v/>
      </c>
    </row>
    <row r="1294" spans="1:2" x14ac:dyDescent="0.25">
      <c r="A1294" s="8"/>
      <c r="B1294" s="8" t="str">
        <f t="shared" si="23"/>
        <v/>
      </c>
    </row>
    <row r="1295" spans="1:2" x14ac:dyDescent="0.25">
      <c r="A1295" s="8"/>
      <c r="B1295" s="8" t="str">
        <f t="shared" si="23"/>
        <v/>
      </c>
    </row>
    <row r="1296" spans="1:2" x14ac:dyDescent="0.25">
      <c r="A1296" s="8"/>
      <c r="B1296" s="8" t="str">
        <f t="shared" si="23"/>
        <v/>
      </c>
    </row>
    <row r="1297" spans="1:2" x14ac:dyDescent="0.25">
      <c r="A1297" s="8"/>
      <c r="B1297" s="8" t="str">
        <f t="shared" si="23"/>
        <v/>
      </c>
    </row>
    <row r="1298" spans="1:2" x14ac:dyDescent="0.25">
      <c r="A1298" s="8"/>
      <c r="B1298" s="8" t="str">
        <f t="shared" si="23"/>
        <v/>
      </c>
    </row>
    <row r="1299" spans="1:2" x14ac:dyDescent="0.25">
      <c r="A1299" s="8"/>
      <c r="B1299" s="8" t="str">
        <f t="shared" si="23"/>
        <v/>
      </c>
    </row>
    <row r="1300" spans="1:2" x14ac:dyDescent="0.25">
      <c r="A1300" s="8"/>
      <c r="B1300" s="8" t="str">
        <f t="shared" si="23"/>
        <v/>
      </c>
    </row>
    <row r="1301" spans="1:2" x14ac:dyDescent="0.25">
      <c r="A1301" s="8"/>
      <c r="B1301" s="8" t="str">
        <f t="shared" si="23"/>
        <v/>
      </c>
    </row>
    <row r="1302" spans="1:2" x14ac:dyDescent="0.25">
      <c r="A1302" s="8"/>
      <c r="B1302" s="8" t="str">
        <f t="shared" si="23"/>
        <v/>
      </c>
    </row>
    <row r="1303" spans="1:2" x14ac:dyDescent="0.25">
      <c r="A1303" s="8"/>
      <c r="B1303" s="8" t="str">
        <f t="shared" si="23"/>
        <v/>
      </c>
    </row>
    <row r="1304" spans="1:2" x14ac:dyDescent="0.25">
      <c r="A1304" s="8"/>
      <c r="B1304" s="8" t="str">
        <f t="shared" si="23"/>
        <v/>
      </c>
    </row>
    <row r="1305" spans="1:2" x14ac:dyDescent="0.25">
      <c r="A1305" s="8"/>
      <c r="B1305" s="8" t="str">
        <f t="shared" si="23"/>
        <v/>
      </c>
    </row>
    <row r="1306" spans="1:2" x14ac:dyDescent="0.25">
      <c r="A1306" s="8"/>
      <c r="B1306" s="8" t="str">
        <f t="shared" si="23"/>
        <v/>
      </c>
    </row>
    <row r="1307" spans="1:2" x14ac:dyDescent="0.25">
      <c r="A1307" s="8"/>
      <c r="B1307" s="8" t="str">
        <f t="shared" si="23"/>
        <v/>
      </c>
    </row>
    <row r="1308" spans="1:2" x14ac:dyDescent="0.25">
      <c r="A1308" s="8"/>
      <c r="B1308" s="8" t="str">
        <f t="shared" si="23"/>
        <v/>
      </c>
    </row>
    <row r="1309" spans="1:2" x14ac:dyDescent="0.25">
      <c r="A1309" s="8"/>
      <c r="B1309" s="8" t="str">
        <f t="shared" si="23"/>
        <v/>
      </c>
    </row>
    <row r="1310" spans="1:2" x14ac:dyDescent="0.25">
      <c r="A1310" s="8"/>
      <c r="B1310" s="8" t="str">
        <f t="shared" si="23"/>
        <v/>
      </c>
    </row>
    <row r="1311" spans="1:2" x14ac:dyDescent="0.25">
      <c r="A1311" s="8"/>
      <c r="B1311" s="8" t="str">
        <f t="shared" si="23"/>
        <v/>
      </c>
    </row>
    <row r="1312" spans="1:2" x14ac:dyDescent="0.25">
      <c r="A1312" s="8"/>
      <c r="B1312" s="8" t="str">
        <f t="shared" si="23"/>
        <v/>
      </c>
    </row>
    <row r="1313" spans="1:2" x14ac:dyDescent="0.25">
      <c r="A1313" s="8"/>
      <c r="B1313" s="8" t="str">
        <f t="shared" si="23"/>
        <v/>
      </c>
    </row>
    <row r="1314" spans="1:2" x14ac:dyDescent="0.25">
      <c r="A1314" s="8"/>
      <c r="B1314" s="8" t="str">
        <f t="shared" si="23"/>
        <v/>
      </c>
    </row>
    <row r="1315" spans="1:2" x14ac:dyDescent="0.25">
      <c r="A1315" s="8"/>
      <c r="B1315" s="8" t="str">
        <f t="shared" si="23"/>
        <v/>
      </c>
    </row>
    <row r="1316" spans="1:2" x14ac:dyDescent="0.25">
      <c r="A1316" s="8"/>
      <c r="B1316" s="8" t="str">
        <f t="shared" si="23"/>
        <v/>
      </c>
    </row>
    <row r="1317" spans="1:2" x14ac:dyDescent="0.25">
      <c r="A1317" s="8"/>
      <c r="B1317" s="8" t="str">
        <f t="shared" si="23"/>
        <v/>
      </c>
    </row>
    <row r="1318" spans="1:2" x14ac:dyDescent="0.25">
      <c r="A1318" s="8"/>
      <c r="B1318" s="8" t="str">
        <f t="shared" si="23"/>
        <v/>
      </c>
    </row>
    <row r="1319" spans="1:2" x14ac:dyDescent="0.25">
      <c r="A1319" s="8"/>
      <c r="B1319" s="8" t="str">
        <f t="shared" si="23"/>
        <v/>
      </c>
    </row>
    <row r="1320" spans="1:2" x14ac:dyDescent="0.25">
      <c r="A1320" s="8"/>
      <c r="B1320" s="8" t="str">
        <f t="shared" si="23"/>
        <v/>
      </c>
    </row>
    <row r="1321" spans="1:2" x14ac:dyDescent="0.25">
      <c r="A1321" s="8"/>
      <c r="B1321" s="8" t="str">
        <f t="shared" si="23"/>
        <v/>
      </c>
    </row>
    <row r="1322" spans="1:2" x14ac:dyDescent="0.25">
      <c r="A1322" s="8"/>
      <c r="B1322" s="8" t="str">
        <f t="shared" si="23"/>
        <v/>
      </c>
    </row>
    <row r="1323" spans="1:2" x14ac:dyDescent="0.25">
      <c r="A1323" s="8"/>
      <c r="B1323" s="8" t="str">
        <f t="shared" si="23"/>
        <v/>
      </c>
    </row>
    <row r="1324" spans="1:2" x14ac:dyDescent="0.25">
      <c r="A1324" s="8"/>
      <c r="B1324" s="8" t="str">
        <f t="shared" si="23"/>
        <v/>
      </c>
    </row>
    <row r="1325" spans="1:2" x14ac:dyDescent="0.25">
      <c r="A1325" s="8"/>
      <c r="B1325" s="8" t="str">
        <f t="shared" si="23"/>
        <v/>
      </c>
    </row>
    <row r="1326" spans="1:2" x14ac:dyDescent="0.25">
      <c r="A1326" s="8"/>
      <c r="B1326" s="8" t="str">
        <f t="shared" si="23"/>
        <v/>
      </c>
    </row>
    <row r="1327" spans="1:2" x14ac:dyDescent="0.25">
      <c r="A1327" s="8"/>
      <c r="B1327" s="8" t="str">
        <f t="shared" si="23"/>
        <v/>
      </c>
    </row>
    <row r="1328" spans="1:2" x14ac:dyDescent="0.25">
      <c r="A1328" s="8"/>
      <c r="B1328" s="8" t="str">
        <f t="shared" si="23"/>
        <v/>
      </c>
    </row>
    <row r="1329" spans="1:2" x14ac:dyDescent="0.25">
      <c r="A1329" s="8"/>
      <c r="B1329" s="8" t="str">
        <f t="shared" si="23"/>
        <v/>
      </c>
    </row>
    <row r="1330" spans="1:2" x14ac:dyDescent="0.25">
      <c r="A1330" s="8"/>
      <c r="B1330" s="8" t="str">
        <f t="shared" si="23"/>
        <v/>
      </c>
    </row>
    <row r="1331" spans="1:2" x14ac:dyDescent="0.25">
      <c r="A1331" s="8"/>
      <c r="B1331" s="8" t="str">
        <f t="shared" si="23"/>
        <v/>
      </c>
    </row>
    <row r="1332" spans="1:2" x14ac:dyDescent="0.25">
      <c r="A1332" s="8"/>
      <c r="B1332" s="8" t="str">
        <f t="shared" si="23"/>
        <v/>
      </c>
    </row>
    <row r="1333" spans="1:2" x14ac:dyDescent="0.25">
      <c r="A1333" s="8"/>
      <c r="B1333" s="8" t="str">
        <f t="shared" si="23"/>
        <v/>
      </c>
    </row>
    <row r="1334" spans="1:2" x14ac:dyDescent="0.25">
      <c r="A1334" s="8"/>
      <c r="B1334" s="8" t="str">
        <f t="shared" si="23"/>
        <v/>
      </c>
    </row>
    <row r="1335" spans="1:2" x14ac:dyDescent="0.25">
      <c r="A1335" s="8"/>
      <c r="B1335" s="8" t="str">
        <f t="shared" si="23"/>
        <v/>
      </c>
    </row>
    <row r="1336" spans="1:2" x14ac:dyDescent="0.25">
      <c r="A1336" s="8"/>
      <c r="B1336" s="8" t="str">
        <f t="shared" si="23"/>
        <v/>
      </c>
    </row>
    <row r="1337" spans="1:2" x14ac:dyDescent="0.25">
      <c r="A1337" s="8"/>
      <c r="B1337" s="8" t="str">
        <f t="shared" si="23"/>
        <v/>
      </c>
    </row>
    <row r="1338" spans="1:2" x14ac:dyDescent="0.25">
      <c r="A1338" s="8"/>
      <c r="B1338" s="8" t="str">
        <f t="shared" si="23"/>
        <v/>
      </c>
    </row>
    <row r="1339" spans="1:2" x14ac:dyDescent="0.25">
      <c r="A1339" s="8"/>
      <c r="B1339" s="8" t="str">
        <f t="shared" si="23"/>
        <v/>
      </c>
    </row>
    <row r="1340" spans="1:2" x14ac:dyDescent="0.25">
      <c r="A1340" s="8"/>
      <c r="B1340" s="8" t="str">
        <f t="shared" si="23"/>
        <v/>
      </c>
    </row>
    <row r="1341" spans="1:2" x14ac:dyDescent="0.25">
      <c r="A1341" s="8"/>
      <c r="B1341" s="8" t="str">
        <f t="shared" si="23"/>
        <v/>
      </c>
    </row>
    <row r="1342" spans="1:2" x14ac:dyDescent="0.25">
      <c r="A1342" s="8"/>
      <c r="B1342" s="8" t="str">
        <f t="shared" si="23"/>
        <v/>
      </c>
    </row>
    <row r="1343" spans="1:2" x14ac:dyDescent="0.25">
      <c r="A1343" s="8"/>
      <c r="B1343" s="8" t="str">
        <f t="shared" si="23"/>
        <v/>
      </c>
    </row>
    <row r="1344" spans="1:2" x14ac:dyDescent="0.25">
      <c r="A1344" s="8"/>
      <c r="B1344" s="8" t="str">
        <f t="shared" si="23"/>
        <v/>
      </c>
    </row>
    <row r="1345" spans="1:2" x14ac:dyDescent="0.25">
      <c r="A1345" s="8"/>
      <c r="B1345" s="8" t="str">
        <f t="shared" si="23"/>
        <v/>
      </c>
    </row>
    <row r="1346" spans="1:2" x14ac:dyDescent="0.25">
      <c r="A1346" s="8"/>
      <c r="B1346" s="8" t="str">
        <f t="shared" si="23"/>
        <v/>
      </c>
    </row>
    <row r="1347" spans="1:2" x14ac:dyDescent="0.25">
      <c r="A1347" s="8"/>
      <c r="B1347" s="8" t="str">
        <f t="shared" si="23"/>
        <v/>
      </c>
    </row>
    <row r="1348" spans="1:2" x14ac:dyDescent="0.25">
      <c r="A1348" s="8"/>
      <c r="B1348" s="8" t="str">
        <f t="shared" ref="B1348:B1411" si="24">IF(A1348=0,"",41824+(ROUNDUP(DAYS360(41824,A1348)/7,0)*7))</f>
        <v/>
      </c>
    </row>
    <row r="1349" spans="1:2" x14ac:dyDescent="0.25">
      <c r="A1349" s="8"/>
      <c r="B1349" s="8" t="str">
        <f t="shared" si="24"/>
        <v/>
      </c>
    </row>
    <row r="1350" spans="1:2" x14ac:dyDescent="0.25">
      <c r="A1350" s="8"/>
      <c r="B1350" s="8" t="str">
        <f t="shared" si="24"/>
        <v/>
      </c>
    </row>
    <row r="1351" spans="1:2" x14ac:dyDescent="0.25">
      <c r="A1351" s="8"/>
      <c r="B1351" s="8" t="str">
        <f t="shared" si="24"/>
        <v/>
      </c>
    </row>
    <row r="1352" spans="1:2" x14ac:dyDescent="0.25">
      <c r="A1352" s="8"/>
      <c r="B1352" s="8" t="str">
        <f t="shared" si="24"/>
        <v/>
      </c>
    </row>
    <row r="1353" spans="1:2" x14ac:dyDescent="0.25">
      <c r="A1353" s="8"/>
      <c r="B1353" s="8" t="str">
        <f t="shared" si="24"/>
        <v/>
      </c>
    </row>
    <row r="1354" spans="1:2" x14ac:dyDescent="0.25">
      <c r="A1354" s="8"/>
      <c r="B1354" s="8" t="str">
        <f t="shared" si="24"/>
        <v/>
      </c>
    </row>
    <row r="1355" spans="1:2" x14ac:dyDescent="0.25">
      <c r="A1355" s="8"/>
      <c r="B1355" s="8" t="str">
        <f t="shared" si="24"/>
        <v/>
      </c>
    </row>
    <row r="1356" spans="1:2" x14ac:dyDescent="0.25">
      <c r="A1356" s="8"/>
      <c r="B1356" s="8" t="str">
        <f t="shared" si="24"/>
        <v/>
      </c>
    </row>
    <row r="1357" spans="1:2" x14ac:dyDescent="0.25">
      <c r="A1357" s="8"/>
      <c r="B1357" s="8" t="str">
        <f t="shared" si="24"/>
        <v/>
      </c>
    </row>
    <row r="1358" spans="1:2" x14ac:dyDescent="0.25">
      <c r="A1358" s="8"/>
      <c r="B1358" s="8" t="str">
        <f t="shared" si="24"/>
        <v/>
      </c>
    </row>
    <row r="1359" spans="1:2" x14ac:dyDescent="0.25">
      <c r="A1359" s="8"/>
      <c r="B1359" s="8" t="str">
        <f t="shared" si="24"/>
        <v/>
      </c>
    </row>
    <row r="1360" spans="1:2" x14ac:dyDescent="0.25">
      <c r="A1360" s="8"/>
      <c r="B1360" s="8" t="str">
        <f t="shared" si="24"/>
        <v/>
      </c>
    </row>
    <row r="1361" spans="1:2" x14ac:dyDescent="0.25">
      <c r="A1361" s="8"/>
      <c r="B1361" s="8" t="str">
        <f t="shared" si="24"/>
        <v/>
      </c>
    </row>
    <row r="1362" spans="1:2" x14ac:dyDescent="0.25">
      <c r="A1362" s="8"/>
      <c r="B1362" s="8" t="str">
        <f t="shared" si="24"/>
        <v/>
      </c>
    </row>
    <row r="1363" spans="1:2" x14ac:dyDescent="0.25">
      <c r="A1363" s="8"/>
      <c r="B1363" s="8" t="str">
        <f t="shared" si="24"/>
        <v/>
      </c>
    </row>
    <row r="1364" spans="1:2" x14ac:dyDescent="0.25">
      <c r="A1364" s="8"/>
      <c r="B1364" s="8" t="str">
        <f t="shared" si="24"/>
        <v/>
      </c>
    </row>
    <row r="1365" spans="1:2" x14ac:dyDescent="0.25">
      <c r="A1365" s="8"/>
      <c r="B1365" s="8" t="str">
        <f t="shared" si="24"/>
        <v/>
      </c>
    </row>
    <row r="1366" spans="1:2" x14ac:dyDescent="0.25">
      <c r="A1366" s="8"/>
      <c r="B1366" s="8" t="str">
        <f t="shared" si="24"/>
        <v/>
      </c>
    </row>
    <row r="1367" spans="1:2" x14ac:dyDescent="0.25">
      <c r="A1367" s="8"/>
      <c r="B1367" s="8" t="str">
        <f t="shared" si="24"/>
        <v/>
      </c>
    </row>
    <row r="1368" spans="1:2" x14ac:dyDescent="0.25">
      <c r="A1368" s="8"/>
      <c r="B1368" s="8" t="str">
        <f t="shared" si="24"/>
        <v/>
      </c>
    </row>
    <row r="1369" spans="1:2" x14ac:dyDescent="0.25">
      <c r="A1369" s="8"/>
      <c r="B1369" s="8" t="str">
        <f t="shared" si="24"/>
        <v/>
      </c>
    </row>
    <row r="1370" spans="1:2" x14ac:dyDescent="0.25">
      <c r="A1370" s="8"/>
      <c r="B1370" s="8" t="str">
        <f t="shared" si="24"/>
        <v/>
      </c>
    </row>
    <row r="1371" spans="1:2" x14ac:dyDescent="0.25">
      <c r="A1371" s="8"/>
      <c r="B1371" s="8" t="str">
        <f t="shared" si="24"/>
        <v/>
      </c>
    </row>
    <row r="1372" spans="1:2" x14ac:dyDescent="0.25">
      <c r="A1372" s="8"/>
      <c r="B1372" s="8" t="str">
        <f t="shared" si="24"/>
        <v/>
      </c>
    </row>
    <row r="1373" spans="1:2" x14ac:dyDescent="0.25">
      <c r="A1373" s="8"/>
      <c r="B1373" s="8" t="str">
        <f t="shared" si="24"/>
        <v/>
      </c>
    </row>
    <row r="1374" spans="1:2" x14ac:dyDescent="0.25">
      <c r="A1374" s="8"/>
      <c r="B1374" s="8" t="str">
        <f t="shared" si="24"/>
        <v/>
      </c>
    </row>
    <row r="1375" spans="1:2" x14ac:dyDescent="0.25">
      <c r="A1375" s="8"/>
      <c r="B1375" s="8" t="str">
        <f t="shared" si="24"/>
        <v/>
      </c>
    </row>
    <row r="1376" spans="1:2" x14ac:dyDescent="0.25">
      <c r="A1376" s="8"/>
      <c r="B1376" s="8" t="str">
        <f t="shared" si="24"/>
        <v/>
      </c>
    </row>
    <row r="1377" spans="1:2" x14ac:dyDescent="0.25">
      <c r="A1377" s="8"/>
      <c r="B1377" s="8" t="str">
        <f t="shared" si="24"/>
        <v/>
      </c>
    </row>
    <row r="1378" spans="1:2" x14ac:dyDescent="0.25">
      <c r="A1378" s="8"/>
      <c r="B1378" s="8" t="str">
        <f t="shared" si="24"/>
        <v/>
      </c>
    </row>
    <row r="1379" spans="1:2" x14ac:dyDescent="0.25">
      <c r="A1379" s="8"/>
      <c r="B1379" s="8" t="str">
        <f t="shared" si="24"/>
        <v/>
      </c>
    </row>
    <row r="1380" spans="1:2" x14ac:dyDescent="0.25">
      <c r="A1380" s="8"/>
      <c r="B1380" s="8" t="str">
        <f t="shared" si="24"/>
        <v/>
      </c>
    </row>
    <row r="1381" spans="1:2" x14ac:dyDescent="0.25">
      <c r="A1381" s="8"/>
      <c r="B1381" s="8" t="str">
        <f t="shared" si="24"/>
        <v/>
      </c>
    </row>
    <row r="1382" spans="1:2" x14ac:dyDescent="0.25">
      <c r="A1382" s="8"/>
      <c r="B1382" s="8" t="str">
        <f t="shared" si="24"/>
        <v/>
      </c>
    </row>
    <row r="1383" spans="1:2" x14ac:dyDescent="0.25">
      <c r="A1383" s="8"/>
      <c r="B1383" s="8" t="str">
        <f t="shared" si="24"/>
        <v/>
      </c>
    </row>
    <row r="1384" spans="1:2" x14ac:dyDescent="0.25">
      <c r="A1384" s="8"/>
      <c r="B1384" s="8" t="str">
        <f t="shared" si="24"/>
        <v/>
      </c>
    </row>
    <row r="1385" spans="1:2" x14ac:dyDescent="0.25">
      <c r="A1385" s="8"/>
      <c r="B1385" s="8" t="str">
        <f t="shared" si="24"/>
        <v/>
      </c>
    </row>
    <row r="1386" spans="1:2" x14ac:dyDescent="0.25">
      <c r="A1386" s="8"/>
      <c r="B1386" s="8" t="str">
        <f t="shared" si="24"/>
        <v/>
      </c>
    </row>
    <row r="1387" spans="1:2" x14ac:dyDescent="0.25">
      <c r="A1387" s="8"/>
      <c r="B1387" s="8" t="str">
        <f t="shared" si="24"/>
        <v/>
      </c>
    </row>
    <row r="1388" spans="1:2" x14ac:dyDescent="0.25">
      <c r="A1388" s="8"/>
      <c r="B1388" s="8" t="str">
        <f t="shared" si="24"/>
        <v/>
      </c>
    </row>
    <row r="1389" spans="1:2" x14ac:dyDescent="0.25">
      <c r="A1389" s="8"/>
      <c r="B1389" s="8" t="str">
        <f t="shared" si="24"/>
        <v/>
      </c>
    </row>
    <row r="1390" spans="1:2" x14ac:dyDescent="0.25">
      <c r="A1390" s="8"/>
      <c r="B1390" s="8" t="str">
        <f t="shared" si="24"/>
        <v/>
      </c>
    </row>
    <row r="1391" spans="1:2" x14ac:dyDescent="0.25">
      <c r="A1391" s="8"/>
      <c r="B1391" s="8" t="str">
        <f t="shared" si="24"/>
        <v/>
      </c>
    </row>
    <row r="1392" spans="1:2" x14ac:dyDescent="0.25">
      <c r="A1392" s="8"/>
      <c r="B1392" s="8" t="str">
        <f t="shared" si="24"/>
        <v/>
      </c>
    </row>
    <row r="1393" spans="1:2" x14ac:dyDescent="0.25">
      <c r="A1393" s="8"/>
      <c r="B1393" s="8" t="str">
        <f t="shared" si="24"/>
        <v/>
      </c>
    </row>
    <row r="1394" spans="1:2" x14ac:dyDescent="0.25">
      <c r="A1394" s="8"/>
      <c r="B1394" s="8" t="str">
        <f t="shared" si="24"/>
        <v/>
      </c>
    </row>
    <row r="1395" spans="1:2" x14ac:dyDescent="0.25">
      <c r="A1395" s="8"/>
      <c r="B1395" s="8" t="str">
        <f t="shared" si="24"/>
        <v/>
      </c>
    </row>
    <row r="1396" spans="1:2" x14ac:dyDescent="0.25">
      <c r="A1396" s="8"/>
      <c r="B1396" s="8" t="str">
        <f t="shared" si="24"/>
        <v/>
      </c>
    </row>
    <row r="1397" spans="1:2" x14ac:dyDescent="0.25">
      <c r="A1397" s="8"/>
      <c r="B1397" s="8" t="str">
        <f t="shared" si="24"/>
        <v/>
      </c>
    </row>
    <row r="1398" spans="1:2" x14ac:dyDescent="0.25">
      <c r="A1398" s="8"/>
      <c r="B1398" s="8" t="str">
        <f t="shared" si="24"/>
        <v/>
      </c>
    </row>
    <row r="1399" spans="1:2" x14ac:dyDescent="0.25">
      <c r="A1399" s="8"/>
      <c r="B1399" s="8" t="str">
        <f t="shared" si="24"/>
        <v/>
      </c>
    </row>
    <row r="1400" spans="1:2" x14ac:dyDescent="0.25">
      <c r="A1400" s="8"/>
      <c r="B1400" s="8" t="str">
        <f t="shared" si="24"/>
        <v/>
      </c>
    </row>
    <row r="1401" spans="1:2" x14ac:dyDescent="0.25">
      <c r="A1401" s="8"/>
      <c r="B1401" s="8" t="str">
        <f t="shared" si="24"/>
        <v/>
      </c>
    </row>
    <row r="1402" spans="1:2" x14ac:dyDescent="0.25">
      <c r="A1402" s="8"/>
      <c r="B1402" s="8" t="str">
        <f t="shared" si="24"/>
        <v/>
      </c>
    </row>
    <row r="1403" spans="1:2" x14ac:dyDescent="0.25">
      <c r="A1403" s="8"/>
      <c r="B1403" s="8" t="str">
        <f t="shared" si="24"/>
        <v/>
      </c>
    </row>
    <row r="1404" spans="1:2" x14ac:dyDescent="0.25">
      <c r="A1404" s="8"/>
      <c r="B1404" s="8" t="str">
        <f t="shared" si="24"/>
        <v/>
      </c>
    </row>
    <row r="1405" spans="1:2" x14ac:dyDescent="0.25">
      <c r="A1405" s="8"/>
      <c r="B1405" s="8" t="str">
        <f t="shared" si="24"/>
        <v/>
      </c>
    </row>
    <row r="1406" spans="1:2" x14ac:dyDescent="0.25">
      <c r="A1406" s="8"/>
      <c r="B1406" s="8" t="str">
        <f t="shared" si="24"/>
        <v/>
      </c>
    </row>
    <row r="1407" spans="1:2" x14ac:dyDescent="0.25">
      <c r="A1407" s="8"/>
      <c r="B1407" s="8" t="str">
        <f t="shared" si="24"/>
        <v/>
      </c>
    </row>
    <row r="1408" spans="1:2" x14ac:dyDescent="0.25">
      <c r="A1408" s="8"/>
      <c r="B1408" s="8" t="str">
        <f t="shared" si="24"/>
        <v/>
      </c>
    </row>
    <row r="1409" spans="1:2" x14ac:dyDescent="0.25">
      <c r="A1409" s="8"/>
      <c r="B1409" s="8" t="str">
        <f t="shared" si="24"/>
        <v/>
      </c>
    </row>
    <row r="1410" spans="1:2" x14ac:dyDescent="0.25">
      <c r="A1410" s="8"/>
      <c r="B1410" s="8" t="str">
        <f t="shared" si="24"/>
        <v/>
      </c>
    </row>
    <row r="1411" spans="1:2" x14ac:dyDescent="0.25">
      <c r="A1411" s="8"/>
      <c r="B1411" s="8" t="str">
        <f t="shared" si="24"/>
        <v/>
      </c>
    </row>
    <row r="1412" spans="1:2" x14ac:dyDescent="0.25">
      <c r="A1412" s="8"/>
      <c r="B1412" s="8" t="str">
        <f t="shared" ref="B1412:B1475" si="25">IF(A1412=0,"",41824+(ROUNDUP(DAYS360(41824,A1412)/7,0)*7))</f>
        <v/>
      </c>
    </row>
    <row r="1413" spans="1:2" x14ac:dyDescent="0.25">
      <c r="A1413" s="8"/>
      <c r="B1413" s="8" t="str">
        <f t="shared" si="25"/>
        <v/>
      </c>
    </row>
    <row r="1414" spans="1:2" x14ac:dyDescent="0.25">
      <c r="A1414" s="8"/>
      <c r="B1414" s="8" t="str">
        <f t="shared" si="25"/>
        <v/>
      </c>
    </row>
    <row r="1415" spans="1:2" x14ac:dyDescent="0.25">
      <c r="A1415" s="8"/>
      <c r="B1415" s="8" t="str">
        <f t="shared" si="25"/>
        <v/>
      </c>
    </row>
    <row r="1416" spans="1:2" x14ac:dyDescent="0.25">
      <c r="A1416" s="8"/>
      <c r="B1416" s="8" t="str">
        <f t="shared" si="25"/>
        <v/>
      </c>
    </row>
    <row r="1417" spans="1:2" x14ac:dyDescent="0.25">
      <c r="A1417" s="8"/>
      <c r="B1417" s="8" t="str">
        <f t="shared" si="25"/>
        <v/>
      </c>
    </row>
    <row r="1418" spans="1:2" x14ac:dyDescent="0.25">
      <c r="A1418" s="8"/>
      <c r="B1418" s="8" t="str">
        <f t="shared" si="25"/>
        <v/>
      </c>
    </row>
    <row r="1419" spans="1:2" x14ac:dyDescent="0.25">
      <c r="A1419" s="8"/>
      <c r="B1419" s="8" t="str">
        <f t="shared" si="25"/>
        <v/>
      </c>
    </row>
    <row r="1420" spans="1:2" x14ac:dyDescent="0.25">
      <c r="A1420" s="8"/>
      <c r="B1420" s="8" t="str">
        <f t="shared" si="25"/>
        <v/>
      </c>
    </row>
    <row r="1421" spans="1:2" x14ac:dyDescent="0.25">
      <c r="A1421" s="8"/>
      <c r="B1421" s="8" t="str">
        <f t="shared" si="25"/>
        <v/>
      </c>
    </row>
    <row r="1422" spans="1:2" x14ac:dyDescent="0.25">
      <c r="A1422" s="8"/>
      <c r="B1422" s="8" t="str">
        <f t="shared" si="25"/>
        <v/>
      </c>
    </row>
    <row r="1423" spans="1:2" x14ac:dyDescent="0.25">
      <c r="A1423" s="8"/>
      <c r="B1423" s="8" t="str">
        <f t="shared" si="25"/>
        <v/>
      </c>
    </row>
    <row r="1424" spans="1:2" x14ac:dyDescent="0.25">
      <c r="A1424" s="8"/>
      <c r="B1424" s="8" t="str">
        <f t="shared" si="25"/>
        <v/>
      </c>
    </row>
    <row r="1425" spans="1:2" x14ac:dyDescent="0.25">
      <c r="A1425" s="8"/>
      <c r="B1425" s="8" t="str">
        <f t="shared" si="25"/>
        <v/>
      </c>
    </row>
    <row r="1426" spans="1:2" x14ac:dyDescent="0.25">
      <c r="A1426" s="8"/>
      <c r="B1426" s="8" t="str">
        <f t="shared" si="25"/>
        <v/>
      </c>
    </row>
    <row r="1427" spans="1:2" x14ac:dyDescent="0.25">
      <c r="A1427" s="8"/>
      <c r="B1427" s="8" t="str">
        <f t="shared" si="25"/>
        <v/>
      </c>
    </row>
    <row r="1428" spans="1:2" x14ac:dyDescent="0.25">
      <c r="A1428" s="8"/>
      <c r="B1428" s="8" t="str">
        <f t="shared" si="25"/>
        <v/>
      </c>
    </row>
    <row r="1429" spans="1:2" x14ac:dyDescent="0.25">
      <c r="A1429" s="8"/>
      <c r="B1429" s="8" t="str">
        <f t="shared" si="25"/>
        <v/>
      </c>
    </row>
    <row r="1430" spans="1:2" x14ac:dyDescent="0.25">
      <c r="A1430" s="8"/>
      <c r="B1430" s="8" t="str">
        <f t="shared" si="25"/>
        <v/>
      </c>
    </row>
    <row r="1431" spans="1:2" x14ac:dyDescent="0.25">
      <c r="A1431" s="8"/>
      <c r="B1431" s="8" t="str">
        <f t="shared" si="25"/>
        <v/>
      </c>
    </row>
    <row r="1432" spans="1:2" x14ac:dyDescent="0.25">
      <c r="A1432" s="8"/>
      <c r="B1432" s="8" t="str">
        <f t="shared" si="25"/>
        <v/>
      </c>
    </row>
    <row r="1433" spans="1:2" x14ac:dyDescent="0.25">
      <c r="A1433" s="8"/>
      <c r="B1433" s="8" t="str">
        <f t="shared" si="25"/>
        <v/>
      </c>
    </row>
    <row r="1434" spans="1:2" x14ac:dyDescent="0.25">
      <c r="A1434" s="8"/>
      <c r="B1434" s="8" t="str">
        <f t="shared" si="25"/>
        <v/>
      </c>
    </row>
    <row r="1435" spans="1:2" x14ac:dyDescent="0.25">
      <c r="A1435" s="8"/>
      <c r="B1435" s="8" t="str">
        <f t="shared" si="25"/>
        <v/>
      </c>
    </row>
    <row r="1436" spans="1:2" x14ac:dyDescent="0.25">
      <c r="A1436" s="8"/>
      <c r="B1436" s="8" t="str">
        <f t="shared" si="25"/>
        <v/>
      </c>
    </row>
    <row r="1437" spans="1:2" x14ac:dyDescent="0.25">
      <c r="A1437" s="8"/>
      <c r="B1437" s="8" t="str">
        <f t="shared" si="25"/>
        <v/>
      </c>
    </row>
    <row r="1438" spans="1:2" x14ac:dyDescent="0.25">
      <c r="A1438" s="8"/>
      <c r="B1438" s="8" t="str">
        <f t="shared" si="25"/>
        <v/>
      </c>
    </row>
    <row r="1439" spans="1:2" x14ac:dyDescent="0.25">
      <c r="A1439" s="8"/>
      <c r="B1439" s="8" t="str">
        <f t="shared" si="25"/>
        <v/>
      </c>
    </row>
    <row r="1440" spans="1:2" x14ac:dyDescent="0.25">
      <c r="A1440" s="8"/>
      <c r="B1440" s="8" t="str">
        <f t="shared" si="25"/>
        <v/>
      </c>
    </row>
    <row r="1441" spans="1:2" x14ac:dyDescent="0.25">
      <c r="A1441" s="8"/>
      <c r="B1441" s="8" t="str">
        <f t="shared" si="25"/>
        <v/>
      </c>
    </row>
    <row r="1442" spans="1:2" x14ac:dyDescent="0.25">
      <c r="A1442" s="8"/>
      <c r="B1442" s="8" t="str">
        <f t="shared" si="25"/>
        <v/>
      </c>
    </row>
    <row r="1443" spans="1:2" x14ac:dyDescent="0.25">
      <c r="A1443" s="8"/>
      <c r="B1443" s="8" t="str">
        <f t="shared" si="25"/>
        <v/>
      </c>
    </row>
    <row r="1444" spans="1:2" x14ac:dyDescent="0.25">
      <c r="A1444" s="8"/>
      <c r="B1444" s="8" t="str">
        <f t="shared" si="25"/>
        <v/>
      </c>
    </row>
    <row r="1445" spans="1:2" x14ac:dyDescent="0.25">
      <c r="A1445" s="8"/>
      <c r="B1445" s="8" t="str">
        <f t="shared" si="25"/>
        <v/>
      </c>
    </row>
    <row r="1446" spans="1:2" x14ac:dyDescent="0.25">
      <c r="A1446" s="8"/>
      <c r="B1446" s="8" t="str">
        <f t="shared" si="25"/>
        <v/>
      </c>
    </row>
    <row r="1447" spans="1:2" x14ac:dyDescent="0.25">
      <c r="A1447" s="8"/>
      <c r="B1447" s="8" t="str">
        <f t="shared" si="25"/>
        <v/>
      </c>
    </row>
    <row r="1448" spans="1:2" x14ac:dyDescent="0.25">
      <c r="A1448" s="8"/>
      <c r="B1448" s="8" t="str">
        <f t="shared" si="25"/>
        <v/>
      </c>
    </row>
    <row r="1449" spans="1:2" x14ac:dyDescent="0.25">
      <c r="A1449" s="8"/>
      <c r="B1449" s="8" t="str">
        <f t="shared" si="25"/>
        <v/>
      </c>
    </row>
    <row r="1450" spans="1:2" x14ac:dyDescent="0.25">
      <c r="A1450" s="8"/>
      <c r="B1450" s="8" t="str">
        <f t="shared" si="25"/>
        <v/>
      </c>
    </row>
    <row r="1451" spans="1:2" x14ac:dyDescent="0.25">
      <c r="A1451" s="8"/>
      <c r="B1451" s="8" t="str">
        <f t="shared" si="25"/>
        <v/>
      </c>
    </row>
    <row r="1452" spans="1:2" x14ac:dyDescent="0.25">
      <c r="A1452" s="8"/>
      <c r="B1452" s="8" t="str">
        <f t="shared" si="25"/>
        <v/>
      </c>
    </row>
    <row r="1453" spans="1:2" x14ac:dyDescent="0.25">
      <c r="A1453" s="8"/>
      <c r="B1453" s="8" t="str">
        <f t="shared" si="25"/>
        <v/>
      </c>
    </row>
    <row r="1454" spans="1:2" x14ac:dyDescent="0.25">
      <c r="A1454" s="8"/>
      <c r="B1454" s="8" t="str">
        <f t="shared" si="25"/>
        <v/>
      </c>
    </row>
    <row r="1455" spans="1:2" x14ac:dyDescent="0.25">
      <c r="A1455" s="8"/>
      <c r="B1455" s="8" t="str">
        <f t="shared" si="25"/>
        <v/>
      </c>
    </row>
    <row r="1456" spans="1:2" x14ac:dyDescent="0.25">
      <c r="A1456" s="8"/>
      <c r="B1456" s="8" t="str">
        <f t="shared" si="25"/>
        <v/>
      </c>
    </row>
    <row r="1457" spans="1:2" x14ac:dyDescent="0.25">
      <c r="A1457" s="8"/>
      <c r="B1457" s="8" t="str">
        <f t="shared" si="25"/>
        <v/>
      </c>
    </row>
    <row r="1458" spans="1:2" x14ac:dyDescent="0.25">
      <c r="A1458" s="8"/>
      <c r="B1458" s="8" t="str">
        <f t="shared" si="25"/>
        <v/>
      </c>
    </row>
    <row r="1459" spans="1:2" x14ac:dyDescent="0.25">
      <c r="A1459" s="8"/>
      <c r="B1459" s="8" t="str">
        <f t="shared" si="25"/>
        <v/>
      </c>
    </row>
    <row r="1460" spans="1:2" x14ac:dyDescent="0.25">
      <c r="A1460" s="8"/>
      <c r="B1460" s="8" t="str">
        <f t="shared" si="25"/>
        <v/>
      </c>
    </row>
    <row r="1461" spans="1:2" x14ac:dyDescent="0.25">
      <c r="A1461" s="8"/>
      <c r="B1461" s="8" t="str">
        <f t="shared" si="25"/>
        <v/>
      </c>
    </row>
    <row r="1462" spans="1:2" x14ac:dyDescent="0.25">
      <c r="A1462" s="8"/>
      <c r="B1462" s="8" t="str">
        <f t="shared" si="25"/>
        <v/>
      </c>
    </row>
    <row r="1463" spans="1:2" x14ac:dyDescent="0.25">
      <c r="A1463" s="8"/>
      <c r="B1463" s="8" t="str">
        <f t="shared" si="25"/>
        <v/>
      </c>
    </row>
    <row r="1464" spans="1:2" x14ac:dyDescent="0.25">
      <c r="A1464" s="8"/>
      <c r="B1464" s="8" t="str">
        <f t="shared" si="25"/>
        <v/>
      </c>
    </row>
    <row r="1465" spans="1:2" x14ac:dyDescent="0.25">
      <c r="A1465" s="8"/>
      <c r="B1465" s="8" t="str">
        <f t="shared" si="25"/>
        <v/>
      </c>
    </row>
    <row r="1466" spans="1:2" x14ac:dyDescent="0.25">
      <c r="A1466" s="8"/>
      <c r="B1466" s="8" t="str">
        <f t="shared" si="25"/>
        <v/>
      </c>
    </row>
    <row r="1467" spans="1:2" x14ac:dyDescent="0.25">
      <c r="A1467" s="8"/>
      <c r="B1467" s="8" t="str">
        <f t="shared" si="25"/>
        <v/>
      </c>
    </row>
    <row r="1468" spans="1:2" x14ac:dyDescent="0.25">
      <c r="A1468" s="8"/>
      <c r="B1468" s="8" t="str">
        <f t="shared" si="25"/>
        <v/>
      </c>
    </row>
    <row r="1469" spans="1:2" x14ac:dyDescent="0.25">
      <c r="A1469" s="8"/>
      <c r="B1469" s="8" t="str">
        <f t="shared" si="25"/>
        <v/>
      </c>
    </row>
    <row r="1470" spans="1:2" x14ac:dyDescent="0.25">
      <c r="A1470" s="8"/>
      <c r="B1470" s="8" t="str">
        <f t="shared" si="25"/>
        <v/>
      </c>
    </row>
    <row r="1471" spans="1:2" x14ac:dyDescent="0.25">
      <c r="A1471" s="8"/>
      <c r="B1471" s="8" t="str">
        <f t="shared" si="25"/>
        <v/>
      </c>
    </row>
    <row r="1472" spans="1:2" x14ac:dyDescent="0.25">
      <c r="A1472" s="8"/>
      <c r="B1472" s="8" t="str">
        <f t="shared" si="25"/>
        <v/>
      </c>
    </row>
    <row r="1473" spans="1:2" x14ac:dyDescent="0.25">
      <c r="A1473" s="8"/>
      <c r="B1473" s="8" t="str">
        <f t="shared" si="25"/>
        <v/>
      </c>
    </row>
    <row r="1474" spans="1:2" x14ac:dyDescent="0.25">
      <c r="A1474" s="8"/>
      <c r="B1474" s="8" t="str">
        <f t="shared" si="25"/>
        <v/>
      </c>
    </row>
    <row r="1475" spans="1:2" x14ac:dyDescent="0.25">
      <c r="A1475" s="8"/>
      <c r="B1475" s="8" t="str">
        <f t="shared" si="25"/>
        <v/>
      </c>
    </row>
    <row r="1476" spans="1:2" x14ac:dyDescent="0.25">
      <c r="A1476" s="8"/>
      <c r="B1476" s="8" t="str">
        <f t="shared" ref="B1476:B1539" si="26">IF(A1476=0,"",41824+(ROUNDUP(DAYS360(41824,A1476)/7,0)*7))</f>
        <v/>
      </c>
    </row>
    <row r="1477" spans="1:2" x14ac:dyDescent="0.25">
      <c r="A1477" s="8"/>
      <c r="B1477" s="8" t="str">
        <f t="shared" si="26"/>
        <v/>
      </c>
    </row>
    <row r="1478" spans="1:2" x14ac:dyDescent="0.25">
      <c r="A1478" s="8"/>
      <c r="B1478" s="8" t="str">
        <f t="shared" si="26"/>
        <v/>
      </c>
    </row>
    <row r="1479" spans="1:2" x14ac:dyDescent="0.25">
      <c r="A1479" s="8"/>
      <c r="B1479" s="8" t="str">
        <f t="shared" si="26"/>
        <v/>
      </c>
    </row>
    <row r="1480" spans="1:2" x14ac:dyDescent="0.25">
      <c r="A1480" s="8"/>
      <c r="B1480" s="8" t="str">
        <f t="shared" si="26"/>
        <v/>
      </c>
    </row>
    <row r="1481" spans="1:2" x14ac:dyDescent="0.25">
      <c r="A1481" s="8"/>
      <c r="B1481" s="8" t="str">
        <f t="shared" si="26"/>
        <v/>
      </c>
    </row>
    <row r="1482" spans="1:2" x14ac:dyDescent="0.25">
      <c r="A1482" s="8"/>
      <c r="B1482" s="8" t="str">
        <f t="shared" si="26"/>
        <v/>
      </c>
    </row>
    <row r="1483" spans="1:2" x14ac:dyDescent="0.25">
      <c r="A1483" s="8"/>
      <c r="B1483" s="8" t="str">
        <f t="shared" si="26"/>
        <v/>
      </c>
    </row>
    <row r="1484" spans="1:2" x14ac:dyDescent="0.25">
      <c r="A1484" s="8"/>
      <c r="B1484" s="8" t="str">
        <f t="shared" si="26"/>
        <v/>
      </c>
    </row>
    <row r="1485" spans="1:2" x14ac:dyDescent="0.25">
      <c r="A1485" s="8"/>
      <c r="B1485" s="8" t="str">
        <f t="shared" si="26"/>
        <v/>
      </c>
    </row>
    <row r="1486" spans="1:2" x14ac:dyDescent="0.25">
      <c r="A1486" s="8"/>
      <c r="B1486" s="8" t="str">
        <f t="shared" si="26"/>
        <v/>
      </c>
    </row>
    <row r="1487" spans="1:2" x14ac:dyDescent="0.25">
      <c r="A1487" s="8"/>
      <c r="B1487" s="8" t="str">
        <f t="shared" si="26"/>
        <v/>
      </c>
    </row>
    <row r="1488" spans="1:2" x14ac:dyDescent="0.25">
      <c r="A1488" s="8"/>
      <c r="B1488" s="8" t="str">
        <f t="shared" si="26"/>
        <v/>
      </c>
    </row>
    <row r="1489" spans="1:2" x14ac:dyDescent="0.25">
      <c r="A1489" s="8"/>
      <c r="B1489" s="8" t="str">
        <f t="shared" si="26"/>
        <v/>
      </c>
    </row>
    <row r="1490" spans="1:2" x14ac:dyDescent="0.25">
      <c r="A1490" s="8"/>
      <c r="B1490" s="8" t="str">
        <f t="shared" si="26"/>
        <v/>
      </c>
    </row>
    <row r="1491" spans="1:2" x14ac:dyDescent="0.25">
      <c r="A1491" s="8"/>
      <c r="B1491" s="8" t="str">
        <f t="shared" si="26"/>
        <v/>
      </c>
    </row>
    <row r="1492" spans="1:2" x14ac:dyDescent="0.25">
      <c r="A1492" s="8"/>
      <c r="B1492" s="8" t="str">
        <f t="shared" si="26"/>
        <v/>
      </c>
    </row>
    <row r="1493" spans="1:2" x14ac:dyDescent="0.25">
      <c r="A1493" s="8"/>
      <c r="B1493" s="8" t="str">
        <f t="shared" si="26"/>
        <v/>
      </c>
    </row>
    <row r="1494" spans="1:2" x14ac:dyDescent="0.25">
      <c r="A1494" s="8"/>
      <c r="B1494" s="8" t="str">
        <f t="shared" si="26"/>
        <v/>
      </c>
    </row>
    <row r="1495" spans="1:2" x14ac:dyDescent="0.25">
      <c r="A1495" s="8"/>
      <c r="B1495" s="8" t="str">
        <f t="shared" si="26"/>
        <v/>
      </c>
    </row>
    <row r="1496" spans="1:2" x14ac:dyDescent="0.25">
      <c r="A1496" s="8"/>
      <c r="B1496" s="8" t="str">
        <f t="shared" si="26"/>
        <v/>
      </c>
    </row>
    <row r="1497" spans="1:2" x14ac:dyDescent="0.25">
      <c r="A1497" s="8"/>
      <c r="B1497" s="8" t="str">
        <f t="shared" si="26"/>
        <v/>
      </c>
    </row>
    <row r="1498" spans="1:2" x14ac:dyDescent="0.25">
      <c r="A1498" s="8"/>
      <c r="B1498" s="8" t="str">
        <f t="shared" si="26"/>
        <v/>
      </c>
    </row>
    <row r="1499" spans="1:2" x14ac:dyDescent="0.25">
      <c r="A1499" s="8"/>
      <c r="B1499" s="8" t="str">
        <f t="shared" si="26"/>
        <v/>
      </c>
    </row>
    <row r="1500" spans="1:2" x14ac:dyDescent="0.25">
      <c r="A1500" s="8"/>
      <c r="B1500" s="8" t="str">
        <f t="shared" si="26"/>
        <v/>
      </c>
    </row>
    <row r="1501" spans="1:2" x14ac:dyDescent="0.25">
      <c r="A1501" s="8"/>
      <c r="B1501" s="8" t="str">
        <f t="shared" si="26"/>
        <v/>
      </c>
    </row>
    <row r="1502" spans="1:2" x14ac:dyDescent="0.25">
      <c r="A1502" s="8"/>
      <c r="B1502" s="8" t="str">
        <f t="shared" si="26"/>
        <v/>
      </c>
    </row>
    <row r="1503" spans="1:2" x14ac:dyDescent="0.25">
      <c r="A1503" s="8"/>
      <c r="B1503" s="8" t="str">
        <f t="shared" si="26"/>
        <v/>
      </c>
    </row>
    <row r="1504" spans="1:2" x14ac:dyDescent="0.25">
      <c r="A1504" s="8"/>
      <c r="B1504" s="8" t="str">
        <f t="shared" si="26"/>
        <v/>
      </c>
    </row>
    <row r="1505" spans="1:2" x14ac:dyDescent="0.25">
      <c r="A1505" s="8"/>
      <c r="B1505" s="8" t="str">
        <f t="shared" si="26"/>
        <v/>
      </c>
    </row>
    <row r="1506" spans="1:2" x14ac:dyDescent="0.25">
      <c r="A1506" s="8"/>
      <c r="B1506" s="8" t="str">
        <f t="shared" si="26"/>
        <v/>
      </c>
    </row>
    <row r="1507" spans="1:2" x14ac:dyDescent="0.25">
      <c r="A1507" s="8"/>
      <c r="B1507" s="8" t="str">
        <f t="shared" si="26"/>
        <v/>
      </c>
    </row>
    <row r="1508" spans="1:2" x14ac:dyDescent="0.25">
      <c r="A1508" s="8"/>
      <c r="B1508" s="8" t="str">
        <f t="shared" si="26"/>
        <v/>
      </c>
    </row>
    <row r="1509" spans="1:2" x14ac:dyDescent="0.25">
      <c r="A1509" s="8"/>
      <c r="B1509" s="8" t="str">
        <f t="shared" si="26"/>
        <v/>
      </c>
    </row>
    <row r="1510" spans="1:2" x14ac:dyDescent="0.25">
      <c r="A1510" s="8"/>
      <c r="B1510" s="8" t="str">
        <f t="shared" si="26"/>
        <v/>
      </c>
    </row>
    <row r="1511" spans="1:2" x14ac:dyDescent="0.25">
      <c r="A1511" s="8"/>
      <c r="B1511" s="8" t="str">
        <f t="shared" si="26"/>
        <v/>
      </c>
    </row>
    <row r="1512" spans="1:2" x14ac:dyDescent="0.25">
      <c r="A1512" s="8"/>
      <c r="B1512" s="8" t="str">
        <f t="shared" si="26"/>
        <v/>
      </c>
    </row>
    <row r="1513" spans="1:2" x14ac:dyDescent="0.25">
      <c r="A1513" s="8"/>
      <c r="B1513" s="8" t="str">
        <f t="shared" si="26"/>
        <v/>
      </c>
    </row>
    <row r="1514" spans="1:2" x14ac:dyDescent="0.25">
      <c r="A1514" s="8"/>
      <c r="B1514" s="8" t="str">
        <f t="shared" si="26"/>
        <v/>
      </c>
    </row>
    <row r="1515" spans="1:2" x14ac:dyDescent="0.25">
      <c r="A1515" s="8"/>
      <c r="B1515" s="8" t="str">
        <f t="shared" si="26"/>
        <v/>
      </c>
    </row>
    <row r="1516" spans="1:2" x14ac:dyDescent="0.25">
      <c r="A1516" s="8"/>
      <c r="B1516" s="8" t="str">
        <f t="shared" si="26"/>
        <v/>
      </c>
    </row>
    <row r="1517" spans="1:2" x14ac:dyDescent="0.25">
      <c r="A1517" s="8"/>
      <c r="B1517" s="8" t="str">
        <f t="shared" si="26"/>
        <v/>
      </c>
    </row>
    <row r="1518" spans="1:2" x14ac:dyDescent="0.25">
      <c r="A1518" s="8"/>
      <c r="B1518" s="8" t="str">
        <f t="shared" si="26"/>
        <v/>
      </c>
    </row>
    <row r="1519" spans="1:2" x14ac:dyDescent="0.25">
      <c r="A1519" s="8"/>
      <c r="B1519" s="8" t="str">
        <f t="shared" si="26"/>
        <v/>
      </c>
    </row>
    <row r="1520" spans="1:2" x14ac:dyDescent="0.25">
      <c r="A1520" s="8"/>
      <c r="B1520" s="8" t="str">
        <f t="shared" si="26"/>
        <v/>
      </c>
    </row>
    <row r="1521" spans="1:2" x14ac:dyDescent="0.25">
      <c r="A1521" s="8"/>
      <c r="B1521" s="8" t="str">
        <f t="shared" si="26"/>
        <v/>
      </c>
    </row>
    <row r="1522" spans="1:2" x14ac:dyDescent="0.25">
      <c r="A1522" s="8"/>
      <c r="B1522" s="8" t="str">
        <f t="shared" si="26"/>
        <v/>
      </c>
    </row>
    <row r="1523" spans="1:2" x14ac:dyDescent="0.25">
      <c r="A1523" s="8"/>
      <c r="B1523" s="8" t="str">
        <f t="shared" si="26"/>
        <v/>
      </c>
    </row>
    <row r="1524" spans="1:2" x14ac:dyDescent="0.25">
      <c r="A1524" s="8"/>
      <c r="B1524" s="8" t="str">
        <f t="shared" si="26"/>
        <v/>
      </c>
    </row>
    <row r="1525" spans="1:2" x14ac:dyDescent="0.25">
      <c r="A1525" s="8"/>
      <c r="B1525" s="8" t="str">
        <f t="shared" si="26"/>
        <v/>
      </c>
    </row>
    <row r="1526" spans="1:2" x14ac:dyDescent="0.25">
      <c r="A1526" s="8"/>
      <c r="B1526" s="8" t="str">
        <f t="shared" si="26"/>
        <v/>
      </c>
    </row>
    <row r="1527" spans="1:2" x14ac:dyDescent="0.25">
      <c r="A1527" s="8"/>
      <c r="B1527" s="8" t="str">
        <f t="shared" si="26"/>
        <v/>
      </c>
    </row>
    <row r="1528" spans="1:2" x14ac:dyDescent="0.25">
      <c r="A1528" s="8"/>
      <c r="B1528" s="8" t="str">
        <f t="shared" si="26"/>
        <v/>
      </c>
    </row>
    <row r="1529" spans="1:2" x14ac:dyDescent="0.25">
      <c r="A1529" s="8"/>
      <c r="B1529" s="8" t="str">
        <f t="shared" si="26"/>
        <v/>
      </c>
    </row>
    <row r="1530" spans="1:2" x14ac:dyDescent="0.25">
      <c r="A1530" s="8"/>
      <c r="B1530" s="8" t="str">
        <f t="shared" si="26"/>
        <v/>
      </c>
    </row>
    <row r="1531" spans="1:2" x14ac:dyDescent="0.25">
      <c r="A1531" s="8"/>
      <c r="B1531" s="8" t="str">
        <f t="shared" si="26"/>
        <v/>
      </c>
    </row>
    <row r="1532" spans="1:2" x14ac:dyDescent="0.25">
      <c r="A1532" s="8"/>
      <c r="B1532" s="8" t="str">
        <f t="shared" si="26"/>
        <v/>
      </c>
    </row>
    <row r="1533" spans="1:2" x14ac:dyDescent="0.25">
      <c r="A1533" s="8"/>
      <c r="B1533" s="8" t="str">
        <f t="shared" si="26"/>
        <v/>
      </c>
    </row>
    <row r="1534" spans="1:2" x14ac:dyDescent="0.25">
      <c r="A1534" s="8"/>
      <c r="B1534" s="8" t="str">
        <f t="shared" si="26"/>
        <v/>
      </c>
    </row>
    <row r="1535" spans="1:2" x14ac:dyDescent="0.25">
      <c r="A1535" s="8"/>
      <c r="B1535" s="8" t="str">
        <f t="shared" si="26"/>
        <v/>
      </c>
    </row>
    <row r="1536" spans="1:2" x14ac:dyDescent="0.25">
      <c r="A1536" s="8"/>
      <c r="B1536" s="8" t="str">
        <f t="shared" si="26"/>
        <v/>
      </c>
    </row>
    <row r="1537" spans="1:2" x14ac:dyDescent="0.25">
      <c r="A1537" s="8"/>
      <c r="B1537" s="8" t="str">
        <f t="shared" si="26"/>
        <v/>
      </c>
    </row>
    <row r="1538" spans="1:2" x14ac:dyDescent="0.25">
      <c r="A1538" s="8"/>
      <c r="B1538" s="8" t="str">
        <f t="shared" si="26"/>
        <v/>
      </c>
    </row>
    <row r="1539" spans="1:2" x14ac:dyDescent="0.25">
      <c r="A1539" s="8"/>
      <c r="B1539" s="8" t="str">
        <f t="shared" si="26"/>
        <v/>
      </c>
    </row>
    <row r="1540" spans="1:2" x14ac:dyDescent="0.25">
      <c r="A1540" s="8"/>
      <c r="B1540" s="8" t="str">
        <f t="shared" ref="B1540:B1603" si="27">IF(A1540=0,"",41824+(ROUNDUP(DAYS360(41824,A1540)/7,0)*7))</f>
        <v/>
      </c>
    </row>
    <row r="1541" spans="1:2" x14ac:dyDescent="0.25">
      <c r="A1541" s="8"/>
      <c r="B1541" s="8" t="str">
        <f t="shared" si="27"/>
        <v/>
      </c>
    </row>
    <row r="1542" spans="1:2" x14ac:dyDescent="0.25">
      <c r="A1542" s="8"/>
      <c r="B1542" s="8" t="str">
        <f t="shared" si="27"/>
        <v/>
      </c>
    </row>
    <row r="1543" spans="1:2" x14ac:dyDescent="0.25">
      <c r="A1543" s="8"/>
      <c r="B1543" s="8" t="str">
        <f t="shared" si="27"/>
        <v/>
      </c>
    </row>
    <row r="1544" spans="1:2" x14ac:dyDescent="0.25">
      <c r="A1544" s="8"/>
      <c r="B1544" s="8" t="str">
        <f t="shared" si="27"/>
        <v/>
      </c>
    </row>
    <row r="1545" spans="1:2" x14ac:dyDescent="0.25">
      <c r="A1545" s="8"/>
      <c r="B1545" s="8" t="str">
        <f t="shared" si="27"/>
        <v/>
      </c>
    </row>
    <row r="1546" spans="1:2" x14ac:dyDescent="0.25">
      <c r="A1546" s="8"/>
      <c r="B1546" s="8" t="str">
        <f t="shared" si="27"/>
        <v/>
      </c>
    </row>
    <row r="1547" spans="1:2" x14ac:dyDescent="0.25">
      <c r="A1547" s="8"/>
      <c r="B1547" s="8" t="str">
        <f t="shared" si="27"/>
        <v/>
      </c>
    </row>
    <row r="1548" spans="1:2" x14ac:dyDescent="0.25">
      <c r="A1548" s="8"/>
      <c r="B1548" s="8" t="str">
        <f t="shared" si="27"/>
        <v/>
      </c>
    </row>
    <row r="1549" spans="1:2" x14ac:dyDescent="0.25">
      <c r="A1549" s="8"/>
      <c r="B1549" s="8" t="str">
        <f t="shared" si="27"/>
        <v/>
      </c>
    </row>
    <row r="1550" spans="1:2" x14ac:dyDescent="0.25">
      <c r="A1550" s="8"/>
      <c r="B1550" s="8" t="str">
        <f t="shared" si="27"/>
        <v/>
      </c>
    </row>
    <row r="1551" spans="1:2" x14ac:dyDescent="0.25">
      <c r="A1551" s="8"/>
      <c r="B1551" s="8" t="str">
        <f t="shared" si="27"/>
        <v/>
      </c>
    </row>
    <row r="1552" spans="1:2" x14ac:dyDescent="0.25">
      <c r="A1552" s="8"/>
      <c r="B1552" s="8" t="str">
        <f t="shared" si="27"/>
        <v/>
      </c>
    </row>
    <row r="1553" spans="1:2" x14ac:dyDescent="0.25">
      <c r="A1553" s="8"/>
      <c r="B1553" s="8" t="str">
        <f t="shared" si="27"/>
        <v/>
      </c>
    </row>
    <row r="1554" spans="1:2" x14ac:dyDescent="0.25">
      <c r="A1554" s="8"/>
      <c r="B1554" s="8" t="str">
        <f t="shared" si="27"/>
        <v/>
      </c>
    </row>
    <row r="1555" spans="1:2" x14ac:dyDescent="0.25">
      <c r="A1555" s="8"/>
      <c r="B1555" s="8" t="str">
        <f t="shared" si="27"/>
        <v/>
      </c>
    </row>
    <row r="1556" spans="1:2" x14ac:dyDescent="0.25">
      <c r="A1556" s="8"/>
      <c r="B1556" s="8" t="str">
        <f t="shared" si="27"/>
        <v/>
      </c>
    </row>
    <row r="1557" spans="1:2" x14ac:dyDescent="0.25">
      <c r="A1557" s="8"/>
      <c r="B1557" s="8" t="str">
        <f t="shared" si="27"/>
        <v/>
      </c>
    </row>
    <row r="1558" spans="1:2" x14ac:dyDescent="0.25">
      <c r="A1558" s="8"/>
      <c r="B1558" s="8" t="str">
        <f t="shared" si="27"/>
        <v/>
      </c>
    </row>
    <row r="1559" spans="1:2" x14ac:dyDescent="0.25">
      <c r="A1559" s="8"/>
      <c r="B1559" s="8" t="str">
        <f t="shared" si="27"/>
        <v/>
      </c>
    </row>
    <row r="1560" spans="1:2" x14ac:dyDescent="0.25">
      <c r="A1560" s="8"/>
      <c r="B1560" s="8" t="str">
        <f t="shared" si="27"/>
        <v/>
      </c>
    </row>
    <row r="1561" spans="1:2" x14ac:dyDescent="0.25">
      <c r="A1561" s="8"/>
      <c r="B1561" s="8" t="str">
        <f t="shared" si="27"/>
        <v/>
      </c>
    </row>
    <row r="1562" spans="1:2" x14ac:dyDescent="0.25">
      <c r="A1562" s="8"/>
      <c r="B1562" s="8" t="str">
        <f t="shared" si="27"/>
        <v/>
      </c>
    </row>
    <row r="1563" spans="1:2" x14ac:dyDescent="0.25">
      <c r="A1563" s="8"/>
      <c r="B1563" s="8" t="str">
        <f t="shared" si="27"/>
        <v/>
      </c>
    </row>
    <row r="1564" spans="1:2" x14ac:dyDescent="0.25">
      <c r="A1564" s="8"/>
      <c r="B1564" s="8" t="str">
        <f t="shared" si="27"/>
        <v/>
      </c>
    </row>
    <row r="1565" spans="1:2" x14ac:dyDescent="0.25">
      <c r="A1565" s="8"/>
      <c r="B1565" s="8" t="str">
        <f t="shared" si="27"/>
        <v/>
      </c>
    </row>
    <row r="1566" spans="1:2" x14ac:dyDescent="0.25">
      <c r="A1566" s="8"/>
      <c r="B1566" s="8" t="str">
        <f t="shared" si="27"/>
        <v/>
      </c>
    </row>
    <row r="1567" spans="1:2" x14ac:dyDescent="0.25">
      <c r="A1567" s="8"/>
      <c r="B1567" s="8" t="str">
        <f t="shared" si="27"/>
        <v/>
      </c>
    </row>
    <row r="1568" spans="1:2" x14ac:dyDescent="0.25">
      <c r="A1568" s="8"/>
      <c r="B1568" s="8" t="str">
        <f t="shared" si="27"/>
        <v/>
      </c>
    </row>
    <row r="1569" spans="1:2" x14ac:dyDescent="0.25">
      <c r="A1569" s="8"/>
      <c r="B1569" s="8" t="str">
        <f t="shared" si="27"/>
        <v/>
      </c>
    </row>
    <row r="1570" spans="1:2" x14ac:dyDescent="0.25">
      <c r="A1570" s="8"/>
      <c r="B1570" s="8" t="str">
        <f t="shared" si="27"/>
        <v/>
      </c>
    </row>
    <row r="1571" spans="1:2" x14ac:dyDescent="0.25">
      <c r="A1571" s="8"/>
      <c r="B1571" s="8" t="str">
        <f t="shared" si="27"/>
        <v/>
      </c>
    </row>
    <row r="1572" spans="1:2" x14ac:dyDescent="0.25">
      <c r="A1572" s="8"/>
      <c r="B1572" s="8" t="str">
        <f t="shared" si="27"/>
        <v/>
      </c>
    </row>
    <row r="1573" spans="1:2" x14ac:dyDescent="0.25">
      <c r="A1573" s="8"/>
      <c r="B1573" s="8" t="str">
        <f t="shared" si="27"/>
        <v/>
      </c>
    </row>
    <row r="1574" spans="1:2" x14ac:dyDescent="0.25">
      <c r="A1574" s="8"/>
      <c r="B1574" s="8" t="str">
        <f t="shared" si="27"/>
        <v/>
      </c>
    </row>
    <row r="1575" spans="1:2" x14ac:dyDescent="0.25">
      <c r="A1575" s="8"/>
      <c r="B1575" s="8" t="str">
        <f t="shared" si="27"/>
        <v/>
      </c>
    </row>
    <row r="1576" spans="1:2" x14ac:dyDescent="0.25">
      <c r="A1576" s="8"/>
      <c r="B1576" s="8" t="str">
        <f t="shared" si="27"/>
        <v/>
      </c>
    </row>
    <row r="1577" spans="1:2" x14ac:dyDescent="0.25">
      <c r="A1577" s="8"/>
      <c r="B1577" s="8" t="str">
        <f t="shared" si="27"/>
        <v/>
      </c>
    </row>
    <row r="1578" spans="1:2" x14ac:dyDescent="0.25">
      <c r="A1578" s="8"/>
      <c r="B1578" s="8" t="str">
        <f t="shared" si="27"/>
        <v/>
      </c>
    </row>
    <row r="1579" spans="1:2" x14ac:dyDescent="0.25">
      <c r="A1579" s="8"/>
      <c r="B1579" s="8" t="str">
        <f t="shared" si="27"/>
        <v/>
      </c>
    </row>
    <row r="1580" spans="1:2" x14ac:dyDescent="0.25">
      <c r="A1580" s="8"/>
      <c r="B1580" s="8" t="str">
        <f t="shared" si="27"/>
        <v/>
      </c>
    </row>
    <row r="1581" spans="1:2" x14ac:dyDescent="0.25">
      <c r="A1581" s="8"/>
      <c r="B1581" s="8" t="str">
        <f t="shared" si="27"/>
        <v/>
      </c>
    </row>
    <row r="1582" spans="1:2" x14ac:dyDescent="0.25">
      <c r="A1582" s="8"/>
      <c r="B1582" s="8" t="str">
        <f t="shared" si="27"/>
        <v/>
      </c>
    </row>
    <row r="1583" spans="1:2" x14ac:dyDescent="0.25">
      <c r="A1583" s="8"/>
      <c r="B1583" s="8" t="str">
        <f t="shared" si="27"/>
        <v/>
      </c>
    </row>
    <row r="1584" spans="1:2" x14ac:dyDescent="0.25">
      <c r="A1584" s="8"/>
      <c r="B1584" s="8" t="str">
        <f t="shared" si="27"/>
        <v/>
      </c>
    </row>
    <row r="1585" spans="1:2" x14ac:dyDescent="0.25">
      <c r="A1585" s="8"/>
      <c r="B1585" s="8" t="str">
        <f t="shared" si="27"/>
        <v/>
      </c>
    </row>
    <row r="1586" spans="1:2" x14ac:dyDescent="0.25">
      <c r="A1586" s="8"/>
      <c r="B1586" s="8" t="str">
        <f t="shared" si="27"/>
        <v/>
      </c>
    </row>
    <row r="1587" spans="1:2" x14ac:dyDescent="0.25">
      <c r="A1587" s="8"/>
      <c r="B1587" s="8" t="str">
        <f t="shared" si="27"/>
        <v/>
      </c>
    </row>
    <row r="1588" spans="1:2" x14ac:dyDescent="0.25">
      <c r="A1588" s="8"/>
      <c r="B1588" s="8" t="str">
        <f t="shared" si="27"/>
        <v/>
      </c>
    </row>
    <row r="1589" spans="1:2" x14ac:dyDescent="0.25">
      <c r="A1589" s="8"/>
      <c r="B1589" s="8" t="str">
        <f t="shared" si="27"/>
        <v/>
      </c>
    </row>
    <row r="1590" spans="1:2" x14ac:dyDescent="0.25">
      <c r="A1590" s="8"/>
      <c r="B1590" s="8" t="str">
        <f t="shared" si="27"/>
        <v/>
      </c>
    </row>
    <row r="1591" spans="1:2" x14ac:dyDescent="0.25">
      <c r="A1591" s="8"/>
      <c r="B1591" s="8" t="str">
        <f t="shared" si="27"/>
        <v/>
      </c>
    </row>
    <row r="1592" spans="1:2" x14ac:dyDescent="0.25">
      <c r="A1592" s="8"/>
      <c r="B1592" s="8" t="str">
        <f t="shared" si="27"/>
        <v/>
      </c>
    </row>
    <row r="1593" spans="1:2" x14ac:dyDescent="0.25">
      <c r="A1593" s="8"/>
      <c r="B1593" s="8" t="str">
        <f t="shared" si="27"/>
        <v/>
      </c>
    </row>
    <row r="1594" spans="1:2" x14ac:dyDescent="0.25">
      <c r="A1594" s="8"/>
      <c r="B1594" s="8" t="str">
        <f t="shared" si="27"/>
        <v/>
      </c>
    </row>
    <row r="1595" spans="1:2" x14ac:dyDescent="0.25">
      <c r="A1595" s="8"/>
      <c r="B1595" s="8" t="str">
        <f t="shared" si="27"/>
        <v/>
      </c>
    </row>
    <row r="1596" spans="1:2" x14ac:dyDescent="0.25">
      <c r="A1596" s="8"/>
      <c r="B1596" s="8" t="str">
        <f t="shared" si="27"/>
        <v/>
      </c>
    </row>
    <row r="1597" spans="1:2" x14ac:dyDescent="0.25">
      <c r="A1597" s="8"/>
      <c r="B1597" s="8" t="str">
        <f t="shared" si="27"/>
        <v/>
      </c>
    </row>
    <row r="1598" spans="1:2" x14ac:dyDescent="0.25">
      <c r="A1598" s="8"/>
      <c r="B1598" s="8" t="str">
        <f t="shared" si="27"/>
        <v/>
      </c>
    </row>
    <row r="1599" spans="1:2" x14ac:dyDescent="0.25">
      <c r="A1599" s="8"/>
      <c r="B1599" s="8" t="str">
        <f t="shared" si="27"/>
        <v/>
      </c>
    </row>
    <row r="1600" spans="1:2" x14ac:dyDescent="0.25">
      <c r="A1600" s="8"/>
      <c r="B1600" s="8" t="str">
        <f t="shared" si="27"/>
        <v/>
      </c>
    </row>
    <row r="1601" spans="1:2" x14ac:dyDescent="0.25">
      <c r="A1601" s="8"/>
      <c r="B1601" s="8" t="str">
        <f t="shared" si="27"/>
        <v/>
      </c>
    </row>
    <row r="1602" spans="1:2" x14ac:dyDescent="0.25">
      <c r="A1602" s="8"/>
      <c r="B1602" s="8" t="str">
        <f t="shared" si="27"/>
        <v/>
      </c>
    </row>
    <row r="1603" spans="1:2" x14ac:dyDescent="0.25">
      <c r="A1603" s="8"/>
      <c r="B1603" s="8" t="str">
        <f t="shared" si="27"/>
        <v/>
      </c>
    </row>
    <row r="1604" spans="1:2" x14ac:dyDescent="0.25">
      <c r="A1604" s="8"/>
      <c r="B1604" s="8" t="str">
        <f t="shared" ref="B1604:B1667" si="28">IF(A1604=0,"",41824+(ROUNDUP(DAYS360(41824,A1604)/7,0)*7))</f>
        <v/>
      </c>
    </row>
    <row r="1605" spans="1:2" x14ac:dyDescent="0.25">
      <c r="A1605" s="8"/>
      <c r="B1605" s="8" t="str">
        <f t="shared" si="28"/>
        <v/>
      </c>
    </row>
    <row r="1606" spans="1:2" x14ac:dyDescent="0.25">
      <c r="A1606" s="8"/>
      <c r="B1606" s="8" t="str">
        <f t="shared" si="28"/>
        <v/>
      </c>
    </row>
    <row r="1607" spans="1:2" x14ac:dyDescent="0.25">
      <c r="A1607" s="8"/>
      <c r="B1607" s="8" t="str">
        <f t="shared" si="28"/>
        <v/>
      </c>
    </row>
    <row r="1608" spans="1:2" x14ac:dyDescent="0.25">
      <c r="A1608" s="8"/>
      <c r="B1608" s="8" t="str">
        <f t="shared" si="28"/>
        <v/>
      </c>
    </row>
    <row r="1609" spans="1:2" x14ac:dyDescent="0.25">
      <c r="A1609" s="8"/>
      <c r="B1609" s="8" t="str">
        <f t="shared" si="28"/>
        <v/>
      </c>
    </row>
    <row r="1610" spans="1:2" x14ac:dyDescent="0.25">
      <c r="A1610" s="8"/>
      <c r="B1610" s="8" t="str">
        <f t="shared" si="28"/>
        <v/>
      </c>
    </row>
    <row r="1611" spans="1:2" x14ac:dyDescent="0.25">
      <c r="A1611" s="8"/>
      <c r="B1611" s="8" t="str">
        <f t="shared" si="28"/>
        <v/>
      </c>
    </row>
    <row r="1612" spans="1:2" x14ac:dyDescent="0.25">
      <c r="A1612" s="8"/>
      <c r="B1612" s="8" t="str">
        <f t="shared" si="28"/>
        <v/>
      </c>
    </row>
    <row r="1613" spans="1:2" x14ac:dyDescent="0.25">
      <c r="A1613" s="8"/>
      <c r="B1613" s="8" t="str">
        <f t="shared" si="28"/>
        <v/>
      </c>
    </row>
    <row r="1614" spans="1:2" x14ac:dyDescent="0.25">
      <c r="A1614" s="8"/>
      <c r="B1614" s="8" t="str">
        <f t="shared" si="28"/>
        <v/>
      </c>
    </row>
    <row r="1615" spans="1:2" x14ac:dyDescent="0.25">
      <c r="A1615" s="8"/>
      <c r="B1615" s="8" t="str">
        <f t="shared" si="28"/>
        <v/>
      </c>
    </row>
    <row r="1616" spans="1:2" x14ac:dyDescent="0.25">
      <c r="A1616" s="8"/>
      <c r="B1616" s="8" t="str">
        <f t="shared" si="28"/>
        <v/>
      </c>
    </row>
    <row r="1617" spans="1:2" x14ac:dyDescent="0.25">
      <c r="A1617" s="8"/>
      <c r="B1617" s="8" t="str">
        <f t="shared" si="28"/>
        <v/>
      </c>
    </row>
    <row r="1618" spans="1:2" x14ac:dyDescent="0.25">
      <c r="A1618" s="8"/>
      <c r="B1618" s="8" t="str">
        <f t="shared" si="28"/>
        <v/>
      </c>
    </row>
    <row r="1619" spans="1:2" x14ac:dyDescent="0.25">
      <c r="A1619" s="8"/>
      <c r="B1619" s="8" t="str">
        <f t="shared" si="28"/>
        <v/>
      </c>
    </row>
    <row r="1620" spans="1:2" x14ac:dyDescent="0.25">
      <c r="A1620" s="8"/>
      <c r="B1620" s="8" t="str">
        <f t="shared" si="28"/>
        <v/>
      </c>
    </row>
    <row r="1621" spans="1:2" x14ac:dyDescent="0.25">
      <c r="A1621" s="8"/>
      <c r="B1621" s="8" t="str">
        <f t="shared" si="28"/>
        <v/>
      </c>
    </row>
    <row r="1622" spans="1:2" x14ac:dyDescent="0.25">
      <c r="A1622" s="8"/>
      <c r="B1622" s="8" t="str">
        <f t="shared" si="28"/>
        <v/>
      </c>
    </row>
    <row r="1623" spans="1:2" x14ac:dyDescent="0.25">
      <c r="A1623" s="8"/>
      <c r="B1623" s="8" t="str">
        <f t="shared" si="28"/>
        <v/>
      </c>
    </row>
    <row r="1624" spans="1:2" x14ac:dyDescent="0.25">
      <c r="A1624" s="8"/>
      <c r="B1624" s="8" t="str">
        <f t="shared" si="28"/>
        <v/>
      </c>
    </row>
    <row r="1625" spans="1:2" x14ac:dyDescent="0.25">
      <c r="A1625" s="8"/>
      <c r="B1625" s="8" t="str">
        <f t="shared" si="28"/>
        <v/>
      </c>
    </row>
    <row r="1626" spans="1:2" x14ac:dyDescent="0.25">
      <c r="A1626" s="8"/>
      <c r="B1626" s="8" t="str">
        <f t="shared" si="28"/>
        <v/>
      </c>
    </row>
    <row r="1627" spans="1:2" x14ac:dyDescent="0.25">
      <c r="A1627" s="8"/>
      <c r="B1627" s="8" t="str">
        <f t="shared" si="28"/>
        <v/>
      </c>
    </row>
    <row r="1628" spans="1:2" x14ac:dyDescent="0.25">
      <c r="A1628" s="8"/>
      <c r="B1628" s="8" t="str">
        <f t="shared" si="28"/>
        <v/>
      </c>
    </row>
    <row r="1629" spans="1:2" x14ac:dyDescent="0.25">
      <c r="A1629" s="8"/>
      <c r="B1629" s="8" t="str">
        <f t="shared" si="28"/>
        <v/>
      </c>
    </row>
    <row r="1630" spans="1:2" x14ac:dyDescent="0.25">
      <c r="A1630" s="8"/>
      <c r="B1630" s="8" t="str">
        <f t="shared" si="28"/>
        <v/>
      </c>
    </row>
    <row r="1631" spans="1:2" x14ac:dyDescent="0.25">
      <c r="A1631" s="8"/>
      <c r="B1631" s="8" t="str">
        <f t="shared" si="28"/>
        <v/>
      </c>
    </row>
    <row r="1632" spans="1:2" x14ac:dyDescent="0.25">
      <c r="A1632" s="8"/>
      <c r="B1632" s="8" t="str">
        <f t="shared" si="28"/>
        <v/>
      </c>
    </row>
    <row r="1633" spans="1:2" x14ac:dyDescent="0.25">
      <c r="A1633" s="8"/>
      <c r="B1633" s="8" t="str">
        <f t="shared" si="28"/>
        <v/>
      </c>
    </row>
    <row r="1634" spans="1:2" x14ac:dyDescent="0.25">
      <c r="A1634" s="8"/>
      <c r="B1634" s="8" t="str">
        <f t="shared" si="28"/>
        <v/>
      </c>
    </row>
    <row r="1635" spans="1:2" x14ac:dyDescent="0.25">
      <c r="A1635" s="8"/>
      <c r="B1635" s="8" t="str">
        <f t="shared" si="28"/>
        <v/>
      </c>
    </row>
    <row r="1636" spans="1:2" x14ac:dyDescent="0.25">
      <c r="A1636" s="8"/>
      <c r="B1636" s="8" t="str">
        <f t="shared" si="28"/>
        <v/>
      </c>
    </row>
    <row r="1637" spans="1:2" x14ac:dyDescent="0.25">
      <c r="A1637" s="8"/>
      <c r="B1637" s="8" t="str">
        <f t="shared" si="28"/>
        <v/>
      </c>
    </row>
    <row r="1638" spans="1:2" x14ac:dyDescent="0.25">
      <c r="A1638" s="8"/>
      <c r="B1638" s="8" t="str">
        <f t="shared" si="28"/>
        <v/>
      </c>
    </row>
    <row r="1639" spans="1:2" x14ac:dyDescent="0.25">
      <c r="A1639" s="8"/>
      <c r="B1639" s="8" t="str">
        <f t="shared" si="28"/>
        <v/>
      </c>
    </row>
    <row r="1640" spans="1:2" x14ac:dyDescent="0.25">
      <c r="A1640" s="8"/>
      <c r="B1640" s="8" t="str">
        <f t="shared" si="28"/>
        <v/>
      </c>
    </row>
    <row r="1641" spans="1:2" x14ac:dyDescent="0.25">
      <c r="A1641" s="8"/>
      <c r="B1641" s="8" t="str">
        <f t="shared" si="28"/>
        <v/>
      </c>
    </row>
    <row r="1642" spans="1:2" x14ac:dyDescent="0.25">
      <c r="A1642" s="8"/>
      <c r="B1642" s="8" t="str">
        <f t="shared" si="28"/>
        <v/>
      </c>
    </row>
    <row r="1643" spans="1:2" x14ac:dyDescent="0.25">
      <c r="A1643" s="8"/>
      <c r="B1643" s="8" t="str">
        <f t="shared" si="28"/>
        <v/>
      </c>
    </row>
    <row r="1644" spans="1:2" x14ac:dyDescent="0.25">
      <c r="A1644" s="8"/>
      <c r="B1644" s="8" t="str">
        <f t="shared" si="28"/>
        <v/>
      </c>
    </row>
    <row r="1645" spans="1:2" x14ac:dyDescent="0.25">
      <c r="A1645" s="8"/>
      <c r="B1645" s="8" t="str">
        <f t="shared" si="28"/>
        <v/>
      </c>
    </row>
    <row r="1646" spans="1:2" x14ac:dyDescent="0.25">
      <c r="A1646" s="8"/>
      <c r="B1646" s="8" t="str">
        <f t="shared" si="28"/>
        <v/>
      </c>
    </row>
    <row r="1647" spans="1:2" x14ac:dyDescent="0.25">
      <c r="A1647" s="8"/>
      <c r="B1647" s="8" t="str">
        <f t="shared" si="28"/>
        <v/>
      </c>
    </row>
    <row r="1648" spans="1:2" x14ac:dyDescent="0.25">
      <c r="A1648" s="8"/>
      <c r="B1648" s="8" t="str">
        <f t="shared" si="28"/>
        <v/>
      </c>
    </row>
    <row r="1649" spans="1:2" x14ac:dyDescent="0.25">
      <c r="A1649" s="8"/>
      <c r="B1649" s="8" t="str">
        <f t="shared" si="28"/>
        <v/>
      </c>
    </row>
    <row r="1650" spans="1:2" x14ac:dyDescent="0.25">
      <c r="A1650" s="8"/>
      <c r="B1650" s="8" t="str">
        <f t="shared" si="28"/>
        <v/>
      </c>
    </row>
    <row r="1651" spans="1:2" x14ac:dyDescent="0.25">
      <c r="A1651" s="8"/>
      <c r="B1651" s="8" t="str">
        <f t="shared" si="28"/>
        <v/>
      </c>
    </row>
    <row r="1652" spans="1:2" x14ac:dyDescent="0.25">
      <c r="A1652" s="8"/>
      <c r="B1652" s="8" t="str">
        <f t="shared" si="28"/>
        <v/>
      </c>
    </row>
    <row r="1653" spans="1:2" x14ac:dyDescent="0.25">
      <c r="A1653" s="8"/>
      <c r="B1653" s="8" t="str">
        <f t="shared" si="28"/>
        <v/>
      </c>
    </row>
    <row r="1654" spans="1:2" x14ac:dyDescent="0.25">
      <c r="A1654" s="8"/>
      <c r="B1654" s="8" t="str">
        <f t="shared" si="28"/>
        <v/>
      </c>
    </row>
    <row r="1655" spans="1:2" x14ac:dyDescent="0.25">
      <c r="A1655" s="8"/>
      <c r="B1655" s="8" t="str">
        <f t="shared" si="28"/>
        <v/>
      </c>
    </row>
    <row r="1656" spans="1:2" x14ac:dyDescent="0.25">
      <c r="A1656" s="8"/>
      <c r="B1656" s="8" t="str">
        <f t="shared" si="28"/>
        <v/>
      </c>
    </row>
    <row r="1657" spans="1:2" x14ac:dyDescent="0.25">
      <c r="A1657" s="8"/>
      <c r="B1657" s="8" t="str">
        <f t="shared" si="28"/>
        <v/>
      </c>
    </row>
    <row r="1658" spans="1:2" x14ac:dyDescent="0.25">
      <c r="A1658" s="8"/>
      <c r="B1658" s="8" t="str">
        <f t="shared" si="28"/>
        <v/>
      </c>
    </row>
    <row r="1659" spans="1:2" x14ac:dyDescent="0.25">
      <c r="A1659" s="8"/>
      <c r="B1659" s="8" t="str">
        <f t="shared" si="28"/>
        <v/>
      </c>
    </row>
    <row r="1660" spans="1:2" x14ac:dyDescent="0.25">
      <c r="A1660" s="8"/>
      <c r="B1660" s="8" t="str">
        <f t="shared" si="28"/>
        <v/>
      </c>
    </row>
    <row r="1661" spans="1:2" x14ac:dyDescent="0.25">
      <c r="A1661" s="8"/>
      <c r="B1661" s="8" t="str">
        <f t="shared" si="28"/>
        <v/>
      </c>
    </row>
    <row r="1662" spans="1:2" x14ac:dyDescent="0.25">
      <c r="A1662" s="8"/>
      <c r="B1662" s="8" t="str">
        <f t="shared" si="28"/>
        <v/>
      </c>
    </row>
    <row r="1663" spans="1:2" x14ac:dyDescent="0.25">
      <c r="A1663" s="8"/>
      <c r="B1663" s="8" t="str">
        <f t="shared" si="28"/>
        <v/>
      </c>
    </row>
    <row r="1664" spans="1:2" x14ac:dyDescent="0.25">
      <c r="A1664" s="8"/>
      <c r="B1664" s="8" t="str">
        <f t="shared" si="28"/>
        <v/>
      </c>
    </row>
    <row r="1665" spans="1:2" x14ac:dyDescent="0.25">
      <c r="A1665" s="8"/>
      <c r="B1665" s="8" t="str">
        <f t="shared" si="28"/>
        <v/>
      </c>
    </row>
    <row r="1666" spans="1:2" x14ac:dyDescent="0.25">
      <c r="A1666" s="8"/>
      <c r="B1666" s="8" t="str">
        <f t="shared" si="28"/>
        <v/>
      </c>
    </row>
    <row r="1667" spans="1:2" x14ac:dyDescent="0.25">
      <c r="A1667" s="8"/>
      <c r="B1667" s="8" t="str">
        <f t="shared" si="28"/>
        <v/>
      </c>
    </row>
    <row r="1668" spans="1:2" x14ac:dyDescent="0.25">
      <c r="A1668" s="8"/>
      <c r="B1668" s="8" t="str">
        <f t="shared" ref="B1668:B1731" si="29">IF(A1668=0,"",41824+(ROUNDUP(DAYS360(41824,A1668)/7,0)*7))</f>
        <v/>
      </c>
    </row>
    <row r="1669" spans="1:2" x14ac:dyDescent="0.25">
      <c r="A1669" s="8"/>
      <c r="B1669" s="8" t="str">
        <f t="shared" si="29"/>
        <v/>
      </c>
    </row>
    <row r="1670" spans="1:2" x14ac:dyDescent="0.25">
      <c r="A1670" s="8"/>
      <c r="B1670" s="8" t="str">
        <f t="shared" si="29"/>
        <v/>
      </c>
    </row>
    <row r="1671" spans="1:2" x14ac:dyDescent="0.25">
      <c r="A1671" s="8"/>
      <c r="B1671" s="8" t="str">
        <f t="shared" si="29"/>
        <v/>
      </c>
    </row>
    <row r="1672" spans="1:2" x14ac:dyDescent="0.25">
      <c r="A1672" s="8"/>
      <c r="B1672" s="8" t="str">
        <f t="shared" si="29"/>
        <v/>
      </c>
    </row>
    <row r="1673" spans="1:2" x14ac:dyDescent="0.25">
      <c r="A1673" s="8"/>
      <c r="B1673" s="8" t="str">
        <f t="shared" si="29"/>
        <v/>
      </c>
    </row>
    <row r="1674" spans="1:2" x14ac:dyDescent="0.25">
      <c r="A1674" s="8"/>
      <c r="B1674" s="8" t="str">
        <f t="shared" si="29"/>
        <v/>
      </c>
    </row>
    <row r="1675" spans="1:2" x14ac:dyDescent="0.25">
      <c r="A1675" s="8"/>
      <c r="B1675" s="8" t="str">
        <f t="shared" si="29"/>
        <v/>
      </c>
    </row>
    <row r="1676" spans="1:2" x14ac:dyDescent="0.25">
      <c r="A1676" s="8"/>
      <c r="B1676" s="8" t="str">
        <f t="shared" si="29"/>
        <v/>
      </c>
    </row>
    <row r="1677" spans="1:2" x14ac:dyDescent="0.25">
      <c r="A1677" s="8"/>
      <c r="B1677" s="8" t="str">
        <f t="shared" si="29"/>
        <v/>
      </c>
    </row>
    <row r="1678" spans="1:2" x14ac:dyDescent="0.25">
      <c r="A1678" s="8"/>
      <c r="B1678" s="8" t="str">
        <f t="shared" si="29"/>
        <v/>
      </c>
    </row>
    <row r="1679" spans="1:2" x14ac:dyDescent="0.25">
      <c r="A1679" s="8"/>
      <c r="B1679" s="8" t="str">
        <f t="shared" si="29"/>
        <v/>
      </c>
    </row>
    <row r="1680" spans="1:2" x14ac:dyDescent="0.25">
      <c r="A1680" s="8"/>
      <c r="B1680" s="8" t="str">
        <f t="shared" si="29"/>
        <v/>
      </c>
    </row>
    <row r="1681" spans="1:2" x14ac:dyDescent="0.25">
      <c r="A1681" s="8"/>
      <c r="B1681" s="8" t="str">
        <f t="shared" si="29"/>
        <v/>
      </c>
    </row>
    <row r="1682" spans="1:2" x14ac:dyDescent="0.25">
      <c r="A1682" s="8"/>
      <c r="B1682" s="8" t="str">
        <f t="shared" si="29"/>
        <v/>
      </c>
    </row>
    <row r="1683" spans="1:2" x14ac:dyDescent="0.25">
      <c r="A1683" s="8"/>
      <c r="B1683" s="8" t="str">
        <f t="shared" si="29"/>
        <v/>
      </c>
    </row>
    <row r="1684" spans="1:2" x14ac:dyDescent="0.25">
      <c r="A1684" s="8"/>
      <c r="B1684" s="8" t="str">
        <f t="shared" si="29"/>
        <v/>
      </c>
    </row>
    <row r="1685" spans="1:2" x14ac:dyDescent="0.25">
      <c r="A1685" s="8"/>
      <c r="B1685" s="8" t="str">
        <f t="shared" si="29"/>
        <v/>
      </c>
    </row>
    <row r="1686" spans="1:2" x14ac:dyDescent="0.25">
      <c r="A1686" s="8"/>
      <c r="B1686" s="8" t="str">
        <f t="shared" si="29"/>
        <v/>
      </c>
    </row>
    <row r="1687" spans="1:2" x14ac:dyDescent="0.25">
      <c r="A1687" s="8"/>
      <c r="B1687" s="8" t="str">
        <f t="shared" si="29"/>
        <v/>
      </c>
    </row>
    <row r="1688" spans="1:2" x14ac:dyDescent="0.25">
      <c r="A1688" s="8"/>
      <c r="B1688" s="8" t="str">
        <f t="shared" si="29"/>
        <v/>
      </c>
    </row>
    <row r="1689" spans="1:2" x14ac:dyDescent="0.25">
      <c r="A1689" s="8"/>
      <c r="B1689" s="8" t="str">
        <f t="shared" si="29"/>
        <v/>
      </c>
    </row>
    <row r="1690" spans="1:2" x14ac:dyDescent="0.25">
      <c r="A1690" s="8"/>
      <c r="B1690" s="8" t="str">
        <f t="shared" si="29"/>
        <v/>
      </c>
    </row>
    <row r="1691" spans="1:2" x14ac:dyDescent="0.25">
      <c r="A1691" s="8"/>
      <c r="B1691" s="8" t="str">
        <f t="shared" si="29"/>
        <v/>
      </c>
    </row>
    <row r="1692" spans="1:2" x14ac:dyDescent="0.25">
      <c r="A1692" s="8"/>
      <c r="B1692" s="8" t="str">
        <f t="shared" si="29"/>
        <v/>
      </c>
    </row>
    <row r="1693" spans="1:2" x14ac:dyDescent="0.25">
      <c r="A1693" s="8"/>
      <c r="B1693" s="8" t="str">
        <f t="shared" si="29"/>
        <v/>
      </c>
    </row>
    <row r="1694" spans="1:2" x14ac:dyDescent="0.25">
      <c r="A1694" s="8"/>
      <c r="B1694" s="8" t="str">
        <f t="shared" si="29"/>
        <v/>
      </c>
    </row>
    <row r="1695" spans="1:2" x14ac:dyDescent="0.25">
      <c r="A1695" s="8"/>
      <c r="B1695" s="8" t="str">
        <f t="shared" si="29"/>
        <v/>
      </c>
    </row>
    <row r="1696" spans="1:2" x14ac:dyDescent="0.25">
      <c r="A1696" s="8"/>
      <c r="B1696" s="8" t="str">
        <f t="shared" si="29"/>
        <v/>
      </c>
    </row>
    <row r="1697" spans="1:2" x14ac:dyDescent="0.25">
      <c r="A1697" s="8"/>
      <c r="B1697" s="8" t="str">
        <f t="shared" si="29"/>
        <v/>
      </c>
    </row>
    <row r="1698" spans="1:2" x14ac:dyDescent="0.25">
      <c r="A1698" s="8"/>
      <c r="B1698" s="8" t="str">
        <f t="shared" si="29"/>
        <v/>
      </c>
    </row>
    <row r="1699" spans="1:2" x14ac:dyDescent="0.25">
      <c r="A1699" s="8"/>
      <c r="B1699" s="8" t="str">
        <f t="shared" si="29"/>
        <v/>
      </c>
    </row>
    <row r="1700" spans="1:2" x14ac:dyDescent="0.25">
      <c r="A1700" s="8"/>
      <c r="B1700" s="8" t="str">
        <f t="shared" si="29"/>
        <v/>
      </c>
    </row>
    <row r="1701" spans="1:2" x14ac:dyDescent="0.25">
      <c r="A1701" s="8"/>
      <c r="B1701" s="8" t="str">
        <f t="shared" si="29"/>
        <v/>
      </c>
    </row>
    <row r="1702" spans="1:2" x14ac:dyDescent="0.25">
      <c r="A1702" s="8"/>
      <c r="B1702" s="8" t="str">
        <f t="shared" si="29"/>
        <v/>
      </c>
    </row>
    <row r="1703" spans="1:2" x14ac:dyDescent="0.25">
      <c r="A1703" s="8"/>
      <c r="B1703" s="8" t="str">
        <f t="shared" si="29"/>
        <v/>
      </c>
    </row>
    <row r="1704" spans="1:2" x14ac:dyDescent="0.25">
      <c r="A1704" s="8"/>
      <c r="B1704" s="8" t="str">
        <f t="shared" si="29"/>
        <v/>
      </c>
    </row>
    <row r="1705" spans="1:2" x14ac:dyDescent="0.25">
      <c r="A1705" s="8"/>
      <c r="B1705" s="8" t="str">
        <f t="shared" si="29"/>
        <v/>
      </c>
    </row>
    <row r="1706" spans="1:2" x14ac:dyDescent="0.25">
      <c r="A1706" s="8"/>
      <c r="B1706" s="8" t="str">
        <f t="shared" si="29"/>
        <v/>
      </c>
    </row>
    <row r="1707" spans="1:2" x14ac:dyDescent="0.25">
      <c r="A1707" s="8"/>
      <c r="B1707" s="8" t="str">
        <f t="shared" si="29"/>
        <v/>
      </c>
    </row>
    <row r="1708" spans="1:2" x14ac:dyDescent="0.25">
      <c r="A1708" s="8"/>
      <c r="B1708" s="8" t="str">
        <f t="shared" si="29"/>
        <v/>
      </c>
    </row>
    <row r="1709" spans="1:2" x14ac:dyDescent="0.25">
      <c r="A1709" s="8"/>
      <c r="B1709" s="8" t="str">
        <f t="shared" si="29"/>
        <v/>
      </c>
    </row>
    <row r="1710" spans="1:2" x14ac:dyDescent="0.25">
      <c r="A1710" s="8"/>
      <c r="B1710" s="8" t="str">
        <f t="shared" si="29"/>
        <v/>
      </c>
    </row>
    <row r="1711" spans="1:2" x14ac:dyDescent="0.25">
      <c r="A1711" s="8"/>
      <c r="B1711" s="8" t="str">
        <f t="shared" si="29"/>
        <v/>
      </c>
    </row>
    <row r="1712" spans="1:2" x14ac:dyDescent="0.25">
      <c r="A1712" s="8"/>
      <c r="B1712" s="8" t="str">
        <f t="shared" si="29"/>
        <v/>
      </c>
    </row>
    <row r="1713" spans="1:2" x14ac:dyDescent="0.25">
      <c r="A1713" s="8"/>
      <c r="B1713" s="8" t="str">
        <f t="shared" si="29"/>
        <v/>
      </c>
    </row>
    <row r="1714" spans="1:2" x14ac:dyDescent="0.25">
      <c r="A1714" s="8"/>
      <c r="B1714" s="8" t="str">
        <f t="shared" si="29"/>
        <v/>
      </c>
    </row>
    <row r="1715" spans="1:2" x14ac:dyDescent="0.25">
      <c r="A1715" s="8"/>
      <c r="B1715" s="8" t="str">
        <f t="shared" si="29"/>
        <v/>
      </c>
    </row>
    <row r="1716" spans="1:2" x14ac:dyDescent="0.25">
      <c r="A1716" s="8"/>
      <c r="B1716" s="8" t="str">
        <f t="shared" si="29"/>
        <v/>
      </c>
    </row>
    <row r="1717" spans="1:2" x14ac:dyDescent="0.25">
      <c r="A1717" s="8"/>
      <c r="B1717" s="8" t="str">
        <f t="shared" si="29"/>
        <v/>
      </c>
    </row>
    <row r="1718" spans="1:2" x14ac:dyDescent="0.25">
      <c r="A1718" s="8"/>
      <c r="B1718" s="8" t="str">
        <f t="shared" si="29"/>
        <v/>
      </c>
    </row>
    <row r="1719" spans="1:2" x14ac:dyDescent="0.25">
      <c r="A1719" s="8"/>
      <c r="B1719" s="8" t="str">
        <f t="shared" si="29"/>
        <v/>
      </c>
    </row>
    <row r="1720" spans="1:2" x14ac:dyDescent="0.25">
      <c r="A1720" s="8"/>
      <c r="B1720" s="8" t="str">
        <f t="shared" si="29"/>
        <v/>
      </c>
    </row>
    <row r="1721" spans="1:2" x14ac:dyDescent="0.25">
      <c r="A1721" s="8"/>
      <c r="B1721" s="8" t="str">
        <f t="shared" si="29"/>
        <v/>
      </c>
    </row>
    <row r="1722" spans="1:2" x14ac:dyDescent="0.25">
      <c r="A1722" s="8"/>
      <c r="B1722" s="8" t="str">
        <f t="shared" si="29"/>
        <v/>
      </c>
    </row>
    <row r="1723" spans="1:2" x14ac:dyDescent="0.25">
      <c r="A1723" s="8"/>
      <c r="B1723" s="8" t="str">
        <f t="shared" si="29"/>
        <v/>
      </c>
    </row>
    <row r="1724" spans="1:2" x14ac:dyDescent="0.25">
      <c r="A1724" s="8"/>
      <c r="B1724" s="8" t="str">
        <f t="shared" si="29"/>
        <v/>
      </c>
    </row>
    <row r="1725" spans="1:2" x14ac:dyDescent="0.25">
      <c r="A1725" s="8"/>
      <c r="B1725" s="8" t="str">
        <f t="shared" si="29"/>
        <v/>
      </c>
    </row>
    <row r="1726" spans="1:2" x14ac:dyDescent="0.25">
      <c r="A1726" s="8"/>
      <c r="B1726" s="8" t="str">
        <f t="shared" si="29"/>
        <v/>
      </c>
    </row>
    <row r="1727" spans="1:2" x14ac:dyDescent="0.25">
      <c r="A1727" s="8"/>
      <c r="B1727" s="8" t="str">
        <f t="shared" si="29"/>
        <v/>
      </c>
    </row>
    <row r="1728" spans="1:2" x14ac:dyDescent="0.25">
      <c r="A1728" s="8"/>
      <c r="B1728" s="8" t="str">
        <f t="shared" si="29"/>
        <v/>
      </c>
    </row>
    <row r="1729" spans="1:2" x14ac:dyDescent="0.25">
      <c r="A1729" s="8"/>
      <c r="B1729" s="8" t="str">
        <f t="shared" si="29"/>
        <v/>
      </c>
    </row>
    <row r="1730" spans="1:2" x14ac:dyDescent="0.25">
      <c r="A1730" s="8"/>
      <c r="B1730" s="8" t="str">
        <f t="shared" si="29"/>
        <v/>
      </c>
    </row>
    <row r="1731" spans="1:2" x14ac:dyDescent="0.25">
      <c r="A1731" s="8"/>
      <c r="B1731" s="8" t="str">
        <f t="shared" si="29"/>
        <v/>
      </c>
    </row>
    <row r="1732" spans="1:2" x14ac:dyDescent="0.25">
      <c r="A1732" s="8"/>
      <c r="B1732" s="8" t="str">
        <f t="shared" ref="B1732:B1795" si="30">IF(A1732=0,"",41824+(ROUNDUP(DAYS360(41824,A1732)/7,0)*7))</f>
        <v/>
      </c>
    </row>
    <row r="1733" spans="1:2" x14ac:dyDescent="0.25">
      <c r="A1733" s="8"/>
      <c r="B1733" s="8" t="str">
        <f t="shared" si="30"/>
        <v/>
      </c>
    </row>
    <row r="1734" spans="1:2" x14ac:dyDescent="0.25">
      <c r="A1734" s="8"/>
      <c r="B1734" s="8" t="str">
        <f t="shared" si="30"/>
        <v/>
      </c>
    </row>
    <row r="1735" spans="1:2" x14ac:dyDescent="0.25">
      <c r="A1735" s="8"/>
      <c r="B1735" s="8" t="str">
        <f t="shared" si="30"/>
        <v/>
      </c>
    </row>
    <row r="1736" spans="1:2" x14ac:dyDescent="0.25">
      <c r="A1736" s="8"/>
      <c r="B1736" s="8" t="str">
        <f t="shared" si="30"/>
        <v/>
      </c>
    </row>
    <row r="1737" spans="1:2" x14ac:dyDescent="0.25">
      <c r="A1737" s="8"/>
      <c r="B1737" s="8" t="str">
        <f t="shared" si="30"/>
        <v/>
      </c>
    </row>
    <row r="1738" spans="1:2" x14ac:dyDescent="0.25">
      <c r="A1738" s="8"/>
      <c r="B1738" s="8" t="str">
        <f t="shared" si="30"/>
        <v/>
      </c>
    </row>
    <row r="1739" spans="1:2" x14ac:dyDescent="0.25">
      <c r="A1739" s="8"/>
      <c r="B1739" s="8" t="str">
        <f t="shared" si="30"/>
        <v/>
      </c>
    </row>
    <row r="1740" spans="1:2" x14ac:dyDescent="0.25">
      <c r="A1740" s="8"/>
      <c r="B1740" s="8" t="str">
        <f t="shared" si="30"/>
        <v/>
      </c>
    </row>
    <row r="1741" spans="1:2" x14ac:dyDescent="0.25">
      <c r="A1741" s="8"/>
      <c r="B1741" s="8" t="str">
        <f t="shared" si="30"/>
        <v/>
      </c>
    </row>
    <row r="1742" spans="1:2" x14ac:dyDescent="0.25">
      <c r="A1742" s="8"/>
      <c r="B1742" s="8" t="str">
        <f t="shared" si="30"/>
        <v/>
      </c>
    </row>
    <row r="1743" spans="1:2" x14ac:dyDescent="0.25">
      <c r="A1743" s="8"/>
      <c r="B1743" s="8" t="str">
        <f t="shared" si="30"/>
        <v/>
      </c>
    </row>
    <row r="1744" spans="1:2" x14ac:dyDescent="0.25">
      <c r="A1744" s="8"/>
      <c r="B1744" s="8" t="str">
        <f t="shared" si="30"/>
        <v/>
      </c>
    </row>
    <row r="1745" spans="1:2" x14ac:dyDescent="0.25">
      <c r="A1745" s="8"/>
      <c r="B1745" s="8" t="str">
        <f t="shared" si="30"/>
        <v/>
      </c>
    </row>
    <row r="1746" spans="1:2" x14ac:dyDescent="0.25">
      <c r="A1746" s="8"/>
      <c r="B1746" s="8" t="str">
        <f t="shared" si="30"/>
        <v/>
      </c>
    </row>
    <row r="1747" spans="1:2" x14ac:dyDescent="0.25">
      <c r="A1747" s="8"/>
      <c r="B1747" s="8" t="str">
        <f t="shared" si="30"/>
        <v/>
      </c>
    </row>
    <row r="1748" spans="1:2" x14ac:dyDescent="0.25">
      <c r="A1748" s="8"/>
      <c r="B1748" s="8" t="str">
        <f t="shared" si="30"/>
        <v/>
      </c>
    </row>
    <row r="1749" spans="1:2" x14ac:dyDescent="0.25">
      <c r="A1749" s="8"/>
      <c r="B1749" s="8" t="str">
        <f t="shared" si="30"/>
        <v/>
      </c>
    </row>
    <row r="1750" spans="1:2" x14ac:dyDescent="0.25">
      <c r="A1750" s="8"/>
      <c r="B1750" s="8" t="str">
        <f t="shared" si="30"/>
        <v/>
      </c>
    </row>
    <row r="1751" spans="1:2" x14ac:dyDescent="0.25">
      <c r="A1751" s="8"/>
      <c r="B1751" s="8" t="str">
        <f t="shared" si="30"/>
        <v/>
      </c>
    </row>
    <row r="1752" spans="1:2" x14ac:dyDescent="0.25">
      <c r="A1752" s="8"/>
      <c r="B1752" s="8" t="str">
        <f t="shared" si="30"/>
        <v/>
      </c>
    </row>
    <row r="1753" spans="1:2" x14ac:dyDescent="0.25">
      <c r="A1753" s="8"/>
      <c r="B1753" s="8" t="str">
        <f t="shared" si="30"/>
        <v/>
      </c>
    </row>
    <row r="1754" spans="1:2" x14ac:dyDescent="0.25">
      <c r="A1754" s="8"/>
      <c r="B1754" s="8" t="str">
        <f t="shared" si="30"/>
        <v/>
      </c>
    </row>
    <row r="1755" spans="1:2" x14ac:dyDescent="0.25">
      <c r="A1755" s="8"/>
      <c r="B1755" s="8" t="str">
        <f t="shared" si="30"/>
        <v/>
      </c>
    </row>
    <row r="1756" spans="1:2" x14ac:dyDescent="0.25">
      <c r="A1756" s="8"/>
      <c r="B1756" s="8" t="str">
        <f t="shared" si="30"/>
        <v/>
      </c>
    </row>
    <row r="1757" spans="1:2" x14ac:dyDescent="0.25">
      <c r="A1757" s="8"/>
      <c r="B1757" s="8" t="str">
        <f t="shared" si="30"/>
        <v/>
      </c>
    </row>
    <row r="1758" spans="1:2" x14ac:dyDescent="0.25">
      <c r="A1758" s="8"/>
      <c r="B1758" s="8" t="str">
        <f t="shared" si="30"/>
        <v/>
      </c>
    </row>
    <row r="1759" spans="1:2" x14ac:dyDescent="0.25">
      <c r="A1759" s="8"/>
      <c r="B1759" s="8" t="str">
        <f t="shared" si="30"/>
        <v/>
      </c>
    </row>
    <row r="1760" spans="1:2" x14ac:dyDescent="0.25">
      <c r="A1760" s="8"/>
      <c r="B1760" s="8" t="str">
        <f t="shared" si="30"/>
        <v/>
      </c>
    </row>
    <row r="1761" spans="1:2" x14ac:dyDescent="0.25">
      <c r="A1761" s="8"/>
      <c r="B1761" s="8" t="str">
        <f t="shared" si="30"/>
        <v/>
      </c>
    </row>
    <row r="1762" spans="1:2" x14ac:dyDescent="0.25">
      <c r="A1762" s="8"/>
      <c r="B1762" s="8" t="str">
        <f t="shared" si="30"/>
        <v/>
      </c>
    </row>
    <row r="1763" spans="1:2" x14ac:dyDescent="0.25">
      <c r="A1763" s="8"/>
      <c r="B1763" s="8" t="str">
        <f t="shared" si="30"/>
        <v/>
      </c>
    </row>
    <row r="1764" spans="1:2" x14ac:dyDescent="0.25">
      <c r="A1764" s="8"/>
      <c r="B1764" s="8" t="str">
        <f t="shared" si="30"/>
        <v/>
      </c>
    </row>
    <row r="1765" spans="1:2" x14ac:dyDescent="0.25">
      <c r="A1765" s="8"/>
      <c r="B1765" s="8" t="str">
        <f t="shared" si="30"/>
        <v/>
      </c>
    </row>
    <row r="1766" spans="1:2" x14ac:dyDescent="0.25">
      <c r="A1766" s="8"/>
      <c r="B1766" s="8" t="str">
        <f t="shared" si="30"/>
        <v/>
      </c>
    </row>
    <row r="1767" spans="1:2" x14ac:dyDescent="0.25">
      <c r="A1767" s="8"/>
      <c r="B1767" s="8" t="str">
        <f t="shared" si="30"/>
        <v/>
      </c>
    </row>
    <row r="1768" spans="1:2" x14ac:dyDescent="0.25">
      <c r="A1768" s="8"/>
      <c r="B1768" s="8" t="str">
        <f t="shared" si="30"/>
        <v/>
      </c>
    </row>
    <row r="1769" spans="1:2" x14ac:dyDescent="0.25">
      <c r="A1769" s="8"/>
      <c r="B1769" s="8" t="str">
        <f t="shared" si="30"/>
        <v/>
      </c>
    </row>
    <row r="1770" spans="1:2" x14ac:dyDescent="0.25">
      <c r="A1770" s="8"/>
      <c r="B1770" s="8" t="str">
        <f t="shared" si="30"/>
        <v/>
      </c>
    </row>
    <row r="1771" spans="1:2" x14ac:dyDescent="0.25">
      <c r="A1771" s="8"/>
      <c r="B1771" s="8" t="str">
        <f t="shared" si="30"/>
        <v/>
      </c>
    </row>
    <row r="1772" spans="1:2" x14ac:dyDescent="0.25">
      <c r="A1772" s="8"/>
      <c r="B1772" s="8" t="str">
        <f t="shared" si="30"/>
        <v/>
      </c>
    </row>
    <row r="1773" spans="1:2" x14ac:dyDescent="0.25">
      <c r="A1773" s="8"/>
      <c r="B1773" s="8" t="str">
        <f t="shared" si="30"/>
        <v/>
      </c>
    </row>
    <row r="1774" spans="1:2" x14ac:dyDescent="0.25">
      <c r="A1774" s="8"/>
      <c r="B1774" s="8" t="str">
        <f t="shared" si="30"/>
        <v/>
      </c>
    </row>
    <row r="1775" spans="1:2" x14ac:dyDescent="0.25">
      <c r="A1775" s="8"/>
      <c r="B1775" s="8" t="str">
        <f t="shared" si="30"/>
        <v/>
      </c>
    </row>
    <row r="1776" spans="1:2" x14ac:dyDescent="0.25">
      <c r="A1776" s="8"/>
      <c r="B1776" s="8" t="str">
        <f t="shared" si="30"/>
        <v/>
      </c>
    </row>
    <row r="1777" spans="1:2" x14ac:dyDescent="0.25">
      <c r="A1777" s="8"/>
      <c r="B1777" s="8" t="str">
        <f t="shared" si="30"/>
        <v/>
      </c>
    </row>
    <row r="1778" spans="1:2" x14ac:dyDescent="0.25">
      <c r="A1778" s="8"/>
      <c r="B1778" s="8" t="str">
        <f t="shared" si="30"/>
        <v/>
      </c>
    </row>
    <row r="1779" spans="1:2" x14ac:dyDescent="0.25">
      <c r="A1779" s="8"/>
      <c r="B1779" s="8" t="str">
        <f t="shared" si="30"/>
        <v/>
      </c>
    </row>
    <row r="1780" spans="1:2" x14ac:dyDescent="0.25">
      <c r="A1780" s="8"/>
      <c r="B1780" s="8" t="str">
        <f t="shared" si="30"/>
        <v/>
      </c>
    </row>
    <row r="1781" spans="1:2" x14ac:dyDescent="0.25">
      <c r="A1781" s="8"/>
      <c r="B1781" s="8" t="str">
        <f t="shared" si="30"/>
        <v/>
      </c>
    </row>
    <row r="1782" spans="1:2" x14ac:dyDescent="0.25">
      <c r="A1782" s="8"/>
      <c r="B1782" s="8" t="str">
        <f t="shared" si="30"/>
        <v/>
      </c>
    </row>
    <row r="1783" spans="1:2" x14ac:dyDescent="0.25">
      <c r="A1783" s="8"/>
      <c r="B1783" s="8" t="str">
        <f t="shared" si="30"/>
        <v/>
      </c>
    </row>
    <row r="1784" spans="1:2" x14ac:dyDescent="0.25">
      <c r="A1784" s="8"/>
      <c r="B1784" s="8" t="str">
        <f t="shared" si="30"/>
        <v/>
      </c>
    </row>
    <row r="1785" spans="1:2" x14ac:dyDescent="0.25">
      <c r="A1785" s="8"/>
      <c r="B1785" s="8" t="str">
        <f t="shared" si="30"/>
        <v/>
      </c>
    </row>
    <row r="1786" spans="1:2" x14ac:dyDescent="0.25">
      <c r="A1786" s="8"/>
      <c r="B1786" s="8" t="str">
        <f t="shared" si="30"/>
        <v/>
      </c>
    </row>
    <row r="1787" spans="1:2" x14ac:dyDescent="0.25">
      <c r="A1787" s="8"/>
      <c r="B1787" s="8" t="str">
        <f t="shared" si="30"/>
        <v/>
      </c>
    </row>
    <row r="1788" spans="1:2" x14ac:dyDescent="0.25">
      <c r="A1788" s="8"/>
      <c r="B1788" s="8" t="str">
        <f t="shared" si="30"/>
        <v/>
      </c>
    </row>
    <row r="1789" spans="1:2" x14ac:dyDescent="0.25">
      <c r="A1789" s="8"/>
      <c r="B1789" s="8" t="str">
        <f t="shared" si="30"/>
        <v/>
      </c>
    </row>
    <row r="1790" spans="1:2" x14ac:dyDescent="0.25">
      <c r="A1790" s="8"/>
      <c r="B1790" s="8" t="str">
        <f t="shared" si="30"/>
        <v/>
      </c>
    </row>
    <row r="1791" spans="1:2" x14ac:dyDescent="0.25">
      <c r="A1791" s="8"/>
      <c r="B1791" s="8" t="str">
        <f t="shared" si="30"/>
        <v/>
      </c>
    </row>
    <row r="1792" spans="1:2" x14ac:dyDescent="0.25">
      <c r="A1792" s="8"/>
      <c r="B1792" s="8" t="str">
        <f t="shared" si="30"/>
        <v/>
      </c>
    </row>
    <row r="1793" spans="1:2" x14ac:dyDescent="0.25">
      <c r="A1793" s="8"/>
      <c r="B1793" s="8" t="str">
        <f t="shared" si="30"/>
        <v/>
      </c>
    </row>
    <row r="1794" spans="1:2" x14ac:dyDescent="0.25">
      <c r="A1794" s="8"/>
      <c r="B1794" s="8" t="str">
        <f t="shared" si="30"/>
        <v/>
      </c>
    </row>
    <row r="1795" spans="1:2" x14ac:dyDescent="0.25">
      <c r="A1795" s="8"/>
      <c r="B1795" s="8" t="str">
        <f t="shared" si="30"/>
        <v/>
      </c>
    </row>
    <row r="1796" spans="1:2" x14ac:dyDescent="0.25">
      <c r="A1796" s="8"/>
      <c r="B1796" s="8" t="str">
        <f t="shared" ref="B1796:B1859" si="31">IF(A1796=0,"",41824+(ROUNDUP(DAYS360(41824,A1796)/7,0)*7))</f>
        <v/>
      </c>
    </row>
    <row r="1797" spans="1:2" x14ac:dyDescent="0.25">
      <c r="A1797" s="8"/>
      <c r="B1797" s="8" t="str">
        <f t="shared" si="31"/>
        <v/>
      </c>
    </row>
    <row r="1798" spans="1:2" x14ac:dyDescent="0.25">
      <c r="A1798" s="8"/>
      <c r="B1798" s="8" t="str">
        <f t="shared" si="31"/>
        <v/>
      </c>
    </row>
    <row r="1799" spans="1:2" x14ac:dyDescent="0.25">
      <c r="A1799" s="8"/>
      <c r="B1799" s="8" t="str">
        <f t="shared" si="31"/>
        <v/>
      </c>
    </row>
    <row r="1800" spans="1:2" x14ac:dyDescent="0.25">
      <c r="A1800" s="8"/>
      <c r="B1800" s="8" t="str">
        <f t="shared" si="31"/>
        <v/>
      </c>
    </row>
    <row r="1801" spans="1:2" x14ac:dyDescent="0.25">
      <c r="A1801" s="8"/>
      <c r="B1801" s="8" t="str">
        <f t="shared" si="31"/>
        <v/>
      </c>
    </row>
    <row r="1802" spans="1:2" x14ac:dyDescent="0.25">
      <c r="A1802" s="8"/>
      <c r="B1802" s="8" t="str">
        <f t="shared" si="31"/>
        <v/>
      </c>
    </row>
    <row r="1803" spans="1:2" x14ac:dyDescent="0.25">
      <c r="A1803" s="8"/>
      <c r="B1803" s="8" t="str">
        <f t="shared" si="31"/>
        <v/>
      </c>
    </row>
    <row r="1804" spans="1:2" x14ac:dyDescent="0.25">
      <c r="A1804" s="8"/>
      <c r="B1804" s="8" t="str">
        <f t="shared" si="31"/>
        <v/>
      </c>
    </row>
    <row r="1805" spans="1:2" x14ac:dyDescent="0.25">
      <c r="A1805" s="8"/>
      <c r="B1805" s="8" t="str">
        <f t="shared" si="31"/>
        <v/>
      </c>
    </row>
    <row r="1806" spans="1:2" x14ac:dyDescent="0.25">
      <c r="A1806" s="8"/>
      <c r="B1806" s="8" t="str">
        <f t="shared" si="31"/>
        <v/>
      </c>
    </row>
    <row r="1807" spans="1:2" x14ac:dyDescent="0.25">
      <c r="A1807" s="8"/>
      <c r="B1807" s="8" t="str">
        <f t="shared" si="31"/>
        <v/>
      </c>
    </row>
    <row r="1808" spans="1:2" x14ac:dyDescent="0.25">
      <c r="A1808" s="8"/>
      <c r="B1808" s="8" t="str">
        <f t="shared" si="31"/>
        <v/>
      </c>
    </row>
    <row r="1809" spans="1:2" x14ac:dyDescent="0.25">
      <c r="A1809" s="8"/>
      <c r="B1809" s="8" t="str">
        <f t="shared" si="31"/>
        <v/>
      </c>
    </row>
    <row r="1810" spans="1:2" x14ac:dyDescent="0.25">
      <c r="A1810" s="8"/>
      <c r="B1810" s="8" t="str">
        <f t="shared" si="31"/>
        <v/>
      </c>
    </row>
    <row r="1811" spans="1:2" x14ac:dyDescent="0.25">
      <c r="A1811" s="8"/>
      <c r="B1811" s="8" t="str">
        <f t="shared" si="31"/>
        <v/>
      </c>
    </row>
    <row r="1812" spans="1:2" x14ac:dyDescent="0.25">
      <c r="A1812" s="8"/>
      <c r="B1812" s="8" t="str">
        <f t="shared" si="31"/>
        <v/>
      </c>
    </row>
    <row r="1813" spans="1:2" x14ac:dyDescent="0.25">
      <c r="A1813" s="8"/>
      <c r="B1813" s="8" t="str">
        <f t="shared" si="31"/>
        <v/>
      </c>
    </row>
    <row r="1814" spans="1:2" x14ac:dyDescent="0.25">
      <c r="A1814" s="8"/>
      <c r="B1814" s="8" t="str">
        <f t="shared" si="31"/>
        <v/>
      </c>
    </row>
    <row r="1815" spans="1:2" x14ac:dyDescent="0.25">
      <c r="A1815" s="8"/>
      <c r="B1815" s="8" t="str">
        <f t="shared" si="31"/>
        <v/>
      </c>
    </row>
    <row r="1816" spans="1:2" x14ac:dyDescent="0.25">
      <c r="A1816" s="8"/>
      <c r="B1816" s="8" t="str">
        <f t="shared" si="31"/>
        <v/>
      </c>
    </row>
    <row r="1817" spans="1:2" x14ac:dyDescent="0.25">
      <c r="A1817" s="8"/>
      <c r="B1817" s="8" t="str">
        <f t="shared" si="31"/>
        <v/>
      </c>
    </row>
    <row r="1818" spans="1:2" x14ac:dyDescent="0.25">
      <c r="A1818" s="8"/>
      <c r="B1818" s="8" t="str">
        <f t="shared" si="31"/>
        <v/>
      </c>
    </row>
    <row r="1819" spans="1:2" x14ac:dyDescent="0.25">
      <c r="A1819" s="8"/>
      <c r="B1819" s="8" t="str">
        <f t="shared" si="31"/>
        <v/>
      </c>
    </row>
    <row r="1820" spans="1:2" x14ac:dyDescent="0.25">
      <c r="A1820" s="8"/>
      <c r="B1820" s="8" t="str">
        <f t="shared" si="31"/>
        <v/>
      </c>
    </row>
    <row r="1821" spans="1:2" x14ac:dyDescent="0.25">
      <c r="A1821" s="8"/>
      <c r="B1821" s="8" t="str">
        <f t="shared" si="31"/>
        <v/>
      </c>
    </row>
    <row r="1822" spans="1:2" x14ac:dyDescent="0.25">
      <c r="A1822" s="8"/>
      <c r="B1822" s="8" t="str">
        <f t="shared" si="31"/>
        <v/>
      </c>
    </row>
    <row r="1823" spans="1:2" x14ac:dyDescent="0.25">
      <c r="A1823" s="8"/>
      <c r="B1823" s="8" t="str">
        <f t="shared" si="31"/>
        <v/>
      </c>
    </row>
    <row r="1824" spans="1:2" x14ac:dyDescent="0.25">
      <c r="A1824" s="8"/>
      <c r="B1824" s="8" t="str">
        <f t="shared" si="31"/>
        <v/>
      </c>
    </row>
    <row r="1825" spans="1:2" x14ac:dyDescent="0.25">
      <c r="A1825" s="8"/>
      <c r="B1825" s="8" t="str">
        <f t="shared" si="31"/>
        <v/>
      </c>
    </row>
    <row r="1826" spans="1:2" x14ac:dyDescent="0.25">
      <c r="A1826" s="8"/>
      <c r="B1826" s="8" t="str">
        <f t="shared" si="31"/>
        <v/>
      </c>
    </row>
    <row r="1827" spans="1:2" x14ac:dyDescent="0.25">
      <c r="A1827" s="8"/>
      <c r="B1827" s="8" t="str">
        <f t="shared" si="31"/>
        <v/>
      </c>
    </row>
    <row r="1828" spans="1:2" x14ac:dyDescent="0.25">
      <c r="A1828" s="8"/>
      <c r="B1828" s="8" t="str">
        <f t="shared" si="31"/>
        <v/>
      </c>
    </row>
    <row r="1829" spans="1:2" x14ac:dyDescent="0.25">
      <c r="A1829" s="8"/>
      <c r="B1829" s="8" t="str">
        <f t="shared" si="31"/>
        <v/>
      </c>
    </row>
    <row r="1830" spans="1:2" x14ac:dyDescent="0.25">
      <c r="A1830" s="8"/>
      <c r="B1830" s="8" t="str">
        <f t="shared" si="31"/>
        <v/>
      </c>
    </row>
    <row r="1831" spans="1:2" x14ac:dyDescent="0.25">
      <c r="A1831" s="8"/>
      <c r="B1831" s="8" t="str">
        <f t="shared" si="31"/>
        <v/>
      </c>
    </row>
    <row r="1832" spans="1:2" x14ac:dyDescent="0.25">
      <c r="A1832" s="8"/>
      <c r="B1832" s="8" t="str">
        <f t="shared" si="31"/>
        <v/>
      </c>
    </row>
    <row r="1833" spans="1:2" x14ac:dyDescent="0.25">
      <c r="A1833" s="8"/>
      <c r="B1833" s="8" t="str">
        <f t="shared" si="31"/>
        <v/>
      </c>
    </row>
    <row r="1834" spans="1:2" x14ac:dyDescent="0.25">
      <c r="A1834" s="8"/>
      <c r="B1834" s="8" t="str">
        <f t="shared" si="31"/>
        <v/>
      </c>
    </row>
    <row r="1835" spans="1:2" x14ac:dyDescent="0.25">
      <c r="A1835" s="8"/>
      <c r="B1835" s="8" t="str">
        <f t="shared" si="31"/>
        <v/>
      </c>
    </row>
    <row r="1836" spans="1:2" x14ac:dyDescent="0.25">
      <c r="A1836" s="8"/>
      <c r="B1836" s="8" t="str">
        <f t="shared" si="31"/>
        <v/>
      </c>
    </row>
    <row r="1837" spans="1:2" x14ac:dyDescent="0.25">
      <c r="A1837" s="8"/>
      <c r="B1837" s="8" t="str">
        <f t="shared" si="31"/>
        <v/>
      </c>
    </row>
    <row r="1838" spans="1:2" x14ac:dyDescent="0.25">
      <c r="A1838" s="8"/>
      <c r="B1838" s="8" t="str">
        <f t="shared" si="31"/>
        <v/>
      </c>
    </row>
    <row r="1839" spans="1:2" x14ac:dyDescent="0.25">
      <c r="A1839" s="8"/>
      <c r="B1839" s="8" t="str">
        <f t="shared" si="31"/>
        <v/>
      </c>
    </row>
    <row r="1840" spans="1:2" x14ac:dyDescent="0.25">
      <c r="A1840" s="8"/>
      <c r="B1840" s="8" t="str">
        <f t="shared" si="31"/>
        <v/>
      </c>
    </row>
    <row r="1841" spans="1:2" x14ac:dyDescent="0.25">
      <c r="A1841" s="8"/>
      <c r="B1841" s="8" t="str">
        <f t="shared" si="31"/>
        <v/>
      </c>
    </row>
    <row r="1842" spans="1:2" x14ac:dyDescent="0.25">
      <c r="A1842" s="8"/>
      <c r="B1842" s="8" t="str">
        <f t="shared" si="31"/>
        <v/>
      </c>
    </row>
    <row r="1843" spans="1:2" x14ac:dyDescent="0.25">
      <c r="A1843" s="8"/>
      <c r="B1843" s="8" t="str">
        <f t="shared" si="31"/>
        <v/>
      </c>
    </row>
    <row r="1844" spans="1:2" x14ac:dyDescent="0.25">
      <c r="A1844" s="8"/>
      <c r="B1844" s="8" t="str">
        <f t="shared" si="31"/>
        <v/>
      </c>
    </row>
    <row r="1845" spans="1:2" x14ac:dyDescent="0.25">
      <c r="A1845" s="8"/>
      <c r="B1845" s="8" t="str">
        <f t="shared" si="31"/>
        <v/>
      </c>
    </row>
    <row r="1846" spans="1:2" x14ac:dyDescent="0.25">
      <c r="A1846" s="8"/>
      <c r="B1846" s="8" t="str">
        <f t="shared" si="31"/>
        <v/>
      </c>
    </row>
    <row r="1847" spans="1:2" x14ac:dyDescent="0.25">
      <c r="A1847" s="8"/>
      <c r="B1847" s="8" t="str">
        <f t="shared" si="31"/>
        <v/>
      </c>
    </row>
    <row r="1848" spans="1:2" x14ac:dyDescent="0.25">
      <c r="A1848" s="8"/>
      <c r="B1848" s="8" t="str">
        <f t="shared" si="31"/>
        <v/>
      </c>
    </row>
    <row r="1849" spans="1:2" x14ac:dyDescent="0.25">
      <c r="A1849" s="8"/>
      <c r="B1849" s="8" t="str">
        <f t="shared" si="31"/>
        <v/>
      </c>
    </row>
    <row r="1850" spans="1:2" x14ac:dyDescent="0.25">
      <c r="A1850" s="8"/>
      <c r="B1850" s="8" t="str">
        <f t="shared" si="31"/>
        <v/>
      </c>
    </row>
    <row r="1851" spans="1:2" x14ac:dyDescent="0.25">
      <c r="A1851" s="8"/>
      <c r="B1851" s="8" t="str">
        <f t="shared" si="31"/>
        <v/>
      </c>
    </row>
    <row r="1852" spans="1:2" x14ac:dyDescent="0.25">
      <c r="A1852" s="8"/>
      <c r="B1852" s="8" t="str">
        <f t="shared" si="31"/>
        <v/>
      </c>
    </row>
    <row r="1853" spans="1:2" x14ac:dyDescent="0.25">
      <c r="A1853" s="8"/>
      <c r="B1853" s="8" t="str">
        <f t="shared" si="31"/>
        <v/>
      </c>
    </row>
    <row r="1854" spans="1:2" x14ac:dyDescent="0.25">
      <c r="A1854" s="8"/>
      <c r="B1854" s="8" t="str">
        <f t="shared" si="31"/>
        <v/>
      </c>
    </row>
    <row r="1855" spans="1:2" x14ac:dyDescent="0.25">
      <c r="A1855" s="8"/>
      <c r="B1855" s="8" t="str">
        <f t="shared" si="31"/>
        <v/>
      </c>
    </row>
    <row r="1856" spans="1:2" x14ac:dyDescent="0.25">
      <c r="A1856" s="8"/>
      <c r="B1856" s="8" t="str">
        <f t="shared" si="31"/>
        <v/>
      </c>
    </row>
    <row r="1857" spans="1:2" x14ac:dyDescent="0.25">
      <c r="A1857" s="8"/>
      <c r="B1857" s="8" t="str">
        <f t="shared" si="31"/>
        <v/>
      </c>
    </row>
    <row r="1858" spans="1:2" x14ac:dyDescent="0.25">
      <c r="A1858" s="8"/>
      <c r="B1858" s="8" t="str">
        <f t="shared" si="31"/>
        <v/>
      </c>
    </row>
    <row r="1859" spans="1:2" x14ac:dyDescent="0.25">
      <c r="A1859" s="8"/>
      <c r="B1859" s="8" t="str">
        <f t="shared" si="31"/>
        <v/>
      </c>
    </row>
    <row r="1860" spans="1:2" x14ac:dyDescent="0.25">
      <c r="A1860" s="8"/>
      <c r="B1860" s="8" t="str">
        <f t="shared" ref="B1860:B1923" si="32">IF(A1860=0,"",41824+(ROUNDUP(DAYS360(41824,A1860)/7,0)*7))</f>
        <v/>
      </c>
    </row>
    <row r="1861" spans="1:2" x14ac:dyDescent="0.25">
      <c r="A1861" s="8"/>
      <c r="B1861" s="8" t="str">
        <f t="shared" si="32"/>
        <v/>
      </c>
    </row>
    <row r="1862" spans="1:2" x14ac:dyDescent="0.25">
      <c r="A1862" s="8"/>
      <c r="B1862" s="8" t="str">
        <f t="shared" si="32"/>
        <v/>
      </c>
    </row>
    <row r="1863" spans="1:2" x14ac:dyDescent="0.25">
      <c r="A1863" s="8"/>
      <c r="B1863" s="8" t="str">
        <f t="shared" si="32"/>
        <v/>
      </c>
    </row>
    <row r="1864" spans="1:2" x14ac:dyDescent="0.25">
      <c r="A1864" s="8"/>
      <c r="B1864" s="8" t="str">
        <f t="shared" si="32"/>
        <v/>
      </c>
    </row>
    <row r="1865" spans="1:2" x14ac:dyDescent="0.25">
      <c r="A1865" s="8"/>
      <c r="B1865" s="8" t="str">
        <f t="shared" si="32"/>
        <v/>
      </c>
    </row>
    <row r="1866" spans="1:2" x14ac:dyDescent="0.25">
      <c r="A1866" s="8"/>
      <c r="B1866" s="8" t="str">
        <f t="shared" si="32"/>
        <v/>
      </c>
    </row>
    <row r="1867" spans="1:2" x14ac:dyDescent="0.25">
      <c r="A1867" s="8"/>
      <c r="B1867" s="8" t="str">
        <f t="shared" si="32"/>
        <v/>
      </c>
    </row>
    <row r="1868" spans="1:2" x14ac:dyDescent="0.25">
      <c r="A1868" s="8"/>
      <c r="B1868" s="8" t="str">
        <f t="shared" si="32"/>
        <v/>
      </c>
    </row>
    <row r="1869" spans="1:2" x14ac:dyDescent="0.25">
      <c r="A1869" s="8"/>
      <c r="B1869" s="8" t="str">
        <f t="shared" si="32"/>
        <v/>
      </c>
    </row>
    <row r="1870" spans="1:2" x14ac:dyDescent="0.25">
      <c r="A1870" s="8"/>
      <c r="B1870" s="8" t="str">
        <f t="shared" si="32"/>
        <v/>
      </c>
    </row>
    <row r="1871" spans="1:2" x14ac:dyDescent="0.25">
      <c r="A1871" s="8"/>
      <c r="B1871" s="8" t="str">
        <f t="shared" si="32"/>
        <v/>
      </c>
    </row>
    <row r="1872" spans="1:2" x14ac:dyDescent="0.25">
      <c r="A1872" s="8"/>
      <c r="B1872" s="8" t="str">
        <f t="shared" si="32"/>
        <v/>
      </c>
    </row>
    <row r="1873" spans="1:2" x14ac:dyDescent="0.25">
      <c r="A1873" s="8"/>
      <c r="B1873" s="8" t="str">
        <f t="shared" si="32"/>
        <v/>
      </c>
    </row>
    <row r="1874" spans="1:2" x14ac:dyDescent="0.25">
      <c r="A1874" s="8"/>
      <c r="B1874" s="8" t="str">
        <f t="shared" si="32"/>
        <v/>
      </c>
    </row>
    <row r="1875" spans="1:2" x14ac:dyDescent="0.25">
      <c r="A1875" s="8"/>
      <c r="B1875" s="8" t="str">
        <f t="shared" si="32"/>
        <v/>
      </c>
    </row>
    <row r="1876" spans="1:2" x14ac:dyDescent="0.25">
      <c r="A1876" s="8"/>
      <c r="B1876" s="8" t="str">
        <f t="shared" si="32"/>
        <v/>
      </c>
    </row>
    <row r="1877" spans="1:2" x14ac:dyDescent="0.25">
      <c r="A1877" s="8"/>
      <c r="B1877" s="8" t="str">
        <f t="shared" si="32"/>
        <v/>
      </c>
    </row>
    <row r="1878" spans="1:2" x14ac:dyDescent="0.25">
      <c r="A1878" s="8"/>
      <c r="B1878" s="8" t="str">
        <f t="shared" si="32"/>
        <v/>
      </c>
    </row>
    <row r="1879" spans="1:2" x14ac:dyDescent="0.25">
      <c r="A1879" s="8"/>
      <c r="B1879" s="8" t="str">
        <f t="shared" si="32"/>
        <v/>
      </c>
    </row>
    <row r="1880" spans="1:2" x14ac:dyDescent="0.25">
      <c r="A1880" s="8"/>
      <c r="B1880" s="8" t="str">
        <f t="shared" si="32"/>
        <v/>
      </c>
    </row>
    <row r="1881" spans="1:2" x14ac:dyDescent="0.25">
      <c r="A1881" s="8"/>
      <c r="B1881" s="8" t="str">
        <f t="shared" si="32"/>
        <v/>
      </c>
    </row>
    <row r="1882" spans="1:2" x14ac:dyDescent="0.25">
      <c r="A1882" s="8"/>
      <c r="B1882" s="8" t="str">
        <f t="shared" si="32"/>
        <v/>
      </c>
    </row>
    <row r="1883" spans="1:2" x14ac:dyDescent="0.25">
      <c r="A1883" s="8"/>
      <c r="B1883" s="8" t="str">
        <f t="shared" si="32"/>
        <v/>
      </c>
    </row>
    <row r="1884" spans="1:2" x14ac:dyDescent="0.25">
      <c r="A1884" s="8"/>
      <c r="B1884" s="8" t="str">
        <f t="shared" si="32"/>
        <v/>
      </c>
    </row>
    <row r="1885" spans="1:2" x14ac:dyDescent="0.25">
      <c r="A1885" s="8"/>
      <c r="B1885" s="8" t="str">
        <f t="shared" si="32"/>
        <v/>
      </c>
    </row>
    <row r="1886" spans="1:2" x14ac:dyDescent="0.25">
      <c r="A1886" s="8"/>
      <c r="B1886" s="8" t="str">
        <f t="shared" si="32"/>
        <v/>
      </c>
    </row>
    <row r="1887" spans="1:2" x14ac:dyDescent="0.25">
      <c r="A1887" s="8"/>
      <c r="B1887" s="8" t="str">
        <f t="shared" si="32"/>
        <v/>
      </c>
    </row>
    <row r="1888" spans="1:2" x14ac:dyDescent="0.25">
      <c r="A1888" s="8"/>
      <c r="B1888" s="8" t="str">
        <f t="shared" si="32"/>
        <v/>
      </c>
    </row>
    <row r="1889" spans="1:2" x14ac:dyDescent="0.25">
      <c r="A1889" s="8"/>
      <c r="B1889" s="8" t="str">
        <f t="shared" si="32"/>
        <v/>
      </c>
    </row>
    <row r="1890" spans="1:2" x14ac:dyDescent="0.25">
      <c r="A1890" s="8"/>
      <c r="B1890" s="8" t="str">
        <f t="shared" si="32"/>
        <v/>
      </c>
    </row>
    <row r="1891" spans="1:2" x14ac:dyDescent="0.25">
      <c r="A1891" s="8"/>
      <c r="B1891" s="8" t="str">
        <f t="shared" si="32"/>
        <v/>
      </c>
    </row>
    <row r="1892" spans="1:2" x14ac:dyDescent="0.25">
      <c r="A1892" s="8"/>
      <c r="B1892" s="8" t="str">
        <f t="shared" si="32"/>
        <v/>
      </c>
    </row>
    <row r="1893" spans="1:2" x14ac:dyDescent="0.25">
      <c r="A1893" s="8"/>
      <c r="B1893" s="8" t="str">
        <f t="shared" si="32"/>
        <v/>
      </c>
    </row>
    <row r="1894" spans="1:2" x14ac:dyDescent="0.25">
      <c r="A1894" s="8"/>
      <c r="B1894" s="8" t="str">
        <f t="shared" si="32"/>
        <v/>
      </c>
    </row>
    <row r="1895" spans="1:2" x14ac:dyDescent="0.25">
      <c r="A1895" s="8"/>
      <c r="B1895" s="8" t="str">
        <f t="shared" si="32"/>
        <v/>
      </c>
    </row>
    <row r="1896" spans="1:2" x14ac:dyDescent="0.25">
      <c r="A1896" s="8"/>
      <c r="B1896" s="8" t="str">
        <f t="shared" si="32"/>
        <v/>
      </c>
    </row>
    <row r="1897" spans="1:2" x14ac:dyDescent="0.25">
      <c r="A1897" s="8"/>
      <c r="B1897" s="8" t="str">
        <f t="shared" si="32"/>
        <v/>
      </c>
    </row>
    <row r="1898" spans="1:2" x14ac:dyDescent="0.25">
      <c r="A1898" s="8"/>
      <c r="B1898" s="8" t="str">
        <f t="shared" si="32"/>
        <v/>
      </c>
    </row>
    <row r="1899" spans="1:2" x14ac:dyDescent="0.25">
      <c r="A1899" s="8"/>
      <c r="B1899" s="8" t="str">
        <f t="shared" si="32"/>
        <v/>
      </c>
    </row>
    <row r="1900" spans="1:2" x14ac:dyDescent="0.25">
      <c r="A1900" s="8"/>
      <c r="B1900" s="8" t="str">
        <f t="shared" si="32"/>
        <v/>
      </c>
    </row>
    <row r="1901" spans="1:2" x14ac:dyDescent="0.25">
      <c r="A1901" s="8"/>
      <c r="B1901" s="8" t="str">
        <f t="shared" si="32"/>
        <v/>
      </c>
    </row>
    <row r="1902" spans="1:2" x14ac:dyDescent="0.25">
      <c r="A1902" s="8"/>
      <c r="B1902" s="8" t="str">
        <f t="shared" si="32"/>
        <v/>
      </c>
    </row>
    <row r="1903" spans="1:2" x14ac:dyDescent="0.25">
      <c r="A1903" s="8"/>
      <c r="B1903" s="8" t="str">
        <f t="shared" si="32"/>
        <v/>
      </c>
    </row>
    <row r="1904" spans="1:2" x14ac:dyDescent="0.25">
      <c r="A1904" s="8"/>
      <c r="B1904" s="8" t="str">
        <f t="shared" si="32"/>
        <v/>
      </c>
    </row>
    <row r="1905" spans="1:2" x14ac:dyDescent="0.25">
      <c r="A1905" s="8"/>
      <c r="B1905" s="8" t="str">
        <f t="shared" si="32"/>
        <v/>
      </c>
    </row>
    <row r="1906" spans="1:2" x14ac:dyDescent="0.25">
      <c r="A1906" s="8"/>
      <c r="B1906" s="8" t="str">
        <f t="shared" si="32"/>
        <v/>
      </c>
    </row>
    <row r="1907" spans="1:2" x14ac:dyDescent="0.25">
      <c r="A1907" s="8"/>
      <c r="B1907" s="8" t="str">
        <f t="shared" si="32"/>
        <v/>
      </c>
    </row>
    <row r="1908" spans="1:2" x14ac:dyDescent="0.25">
      <c r="A1908" s="8"/>
      <c r="B1908" s="8" t="str">
        <f t="shared" si="32"/>
        <v/>
      </c>
    </row>
    <row r="1909" spans="1:2" x14ac:dyDescent="0.25">
      <c r="A1909" s="8"/>
      <c r="B1909" s="8" t="str">
        <f t="shared" si="32"/>
        <v/>
      </c>
    </row>
    <row r="1910" spans="1:2" x14ac:dyDescent="0.25">
      <c r="A1910" s="8"/>
      <c r="B1910" s="8" t="str">
        <f t="shared" si="32"/>
        <v/>
      </c>
    </row>
    <row r="1911" spans="1:2" x14ac:dyDescent="0.25">
      <c r="A1911" s="8"/>
      <c r="B1911" s="8" t="str">
        <f t="shared" si="32"/>
        <v/>
      </c>
    </row>
    <row r="1912" spans="1:2" x14ac:dyDescent="0.25">
      <c r="A1912" s="8"/>
      <c r="B1912" s="8" t="str">
        <f t="shared" si="32"/>
        <v/>
      </c>
    </row>
    <row r="1913" spans="1:2" x14ac:dyDescent="0.25">
      <c r="A1913" s="8"/>
      <c r="B1913" s="8" t="str">
        <f t="shared" si="32"/>
        <v/>
      </c>
    </row>
    <row r="1914" spans="1:2" x14ac:dyDescent="0.25">
      <c r="A1914" s="8"/>
      <c r="B1914" s="8" t="str">
        <f t="shared" si="32"/>
        <v/>
      </c>
    </row>
    <row r="1915" spans="1:2" x14ac:dyDescent="0.25">
      <c r="A1915" s="8"/>
      <c r="B1915" s="8" t="str">
        <f t="shared" si="32"/>
        <v/>
      </c>
    </row>
    <row r="1916" spans="1:2" x14ac:dyDescent="0.25">
      <c r="A1916" s="8"/>
      <c r="B1916" s="8" t="str">
        <f t="shared" si="32"/>
        <v/>
      </c>
    </row>
    <row r="1917" spans="1:2" x14ac:dyDescent="0.25">
      <c r="A1917" s="8"/>
      <c r="B1917" s="8" t="str">
        <f t="shared" si="32"/>
        <v/>
      </c>
    </row>
    <row r="1918" spans="1:2" x14ac:dyDescent="0.25">
      <c r="A1918" s="8"/>
      <c r="B1918" s="8" t="str">
        <f t="shared" si="32"/>
        <v/>
      </c>
    </row>
    <row r="1919" spans="1:2" x14ac:dyDescent="0.25">
      <c r="A1919" s="8"/>
      <c r="B1919" s="8" t="str">
        <f t="shared" si="32"/>
        <v/>
      </c>
    </row>
    <row r="1920" spans="1:2" x14ac:dyDescent="0.25">
      <c r="A1920" s="8"/>
      <c r="B1920" s="8" t="str">
        <f t="shared" si="32"/>
        <v/>
      </c>
    </row>
    <row r="1921" spans="1:2" x14ac:dyDescent="0.25">
      <c r="A1921" s="8"/>
      <c r="B1921" s="8" t="str">
        <f t="shared" si="32"/>
        <v/>
      </c>
    </row>
    <row r="1922" spans="1:2" x14ac:dyDescent="0.25">
      <c r="A1922" s="8"/>
      <c r="B1922" s="8" t="str">
        <f t="shared" si="32"/>
        <v/>
      </c>
    </row>
    <row r="1923" spans="1:2" x14ac:dyDescent="0.25">
      <c r="A1923" s="8"/>
      <c r="B1923" s="8" t="str">
        <f t="shared" si="32"/>
        <v/>
      </c>
    </row>
    <row r="1924" spans="1:2" x14ac:dyDescent="0.25">
      <c r="A1924" s="8"/>
      <c r="B1924" s="8" t="str">
        <f t="shared" ref="B1924:B1987" si="33">IF(A1924=0,"",41824+(ROUNDUP(DAYS360(41824,A1924)/7,0)*7))</f>
        <v/>
      </c>
    </row>
    <row r="1925" spans="1:2" x14ac:dyDescent="0.25">
      <c r="A1925" s="8"/>
      <c r="B1925" s="8" t="str">
        <f t="shared" si="33"/>
        <v/>
      </c>
    </row>
    <row r="1926" spans="1:2" x14ac:dyDescent="0.25">
      <c r="A1926" s="8"/>
      <c r="B1926" s="8" t="str">
        <f t="shared" si="33"/>
        <v/>
      </c>
    </row>
    <row r="1927" spans="1:2" x14ac:dyDescent="0.25">
      <c r="A1927" s="8"/>
      <c r="B1927" s="8" t="str">
        <f t="shared" si="33"/>
        <v/>
      </c>
    </row>
    <row r="1928" spans="1:2" x14ac:dyDescent="0.25">
      <c r="A1928" s="8"/>
      <c r="B1928" s="8" t="str">
        <f t="shared" si="33"/>
        <v/>
      </c>
    </row>
    <row r="1929" spans="1:2" x14ac:dyDescent="0.25">
      <c r="A1929" s="8"/>
      <c r="B1929" s="8" t="str">
        <f t="shared" si="33"/>
        <v/>
      </c>
    </row>
    <row r="1930" spans="1:2" x14ac:dyDescent="0.25">
      <c r="A1930" s="8"/>
      <c r="B1930" s="8" t="str">
        <f t="shared" si="33"/>
        <v/>
      </c>
    </row>
    <row r="1931" spans="1:2" x14ac:dyDescent="0.25">
      <c r="A1931" s="8"/>
      <c r="B1931" s="8" t="str">
        <f t="shared" si="33"/>
        <v/>
      </c>
    </row>
    <row r="1932" spans="1:2" x14ac:dyDescent="0.25">
      <c r="A1932" s="8"/>
      <c r="B1932" s="8" t="str">
        <f t="shared" si="33"/>
        <v/>
      </c>
    </row>
    <row r="1933" spans="1:2" x14ac:dyDescent="0.25">
      <c r="A1933" s="8"/>
      <c r="B1933" s="8" t="str">
        <f t="shared" si="33"/>
        <v/>
      </c>
    </row>
    <row r="1934" spans="1:2" x14ac:dyDescent="0.25">
      <c r="A1934" s="8"/>
      <c r="B1934" s="8" t="str">
        <f t="shared" si="33"/>
        <v/>
      </c>
    </row>
    <row r="1935" spans="1:2" x14ac:dyDescent="0.25">
      <c r="A1935" s="8"/>
      <c r="B1935" s="8" t="str">
        <f t="shared" si="33"/>
        <v/>
      </c>
    </row>
    <row r="1936" spans="1:2" x14ac:dyDescent="0.25">
      <c r="A1936" s="8"/>
      <c r="B1936" s="8" t="str">
        <f t="shared" si="33"/>
        <v/>
      </c>
    </row>
    <row r="1937" spans="1:2" x14ac:dyDescent="0.25">
      <c r="A1937" s="8"/>
      <c r="B1937" s="8" t="str">
        <f t="shared" si="33"/>
        <v/>
      </c>
    </row>
    <row r="1938" spans="1:2" x14ac:dyDescent="0.25">
      <c r="A1938" s="8"/>
      <c r="B1938" s="8" t="str">
        <f t="shared" si="33"/>
        <v/>
      </c>
    </row>
    <row r="1939" spans="1:2" x14ac:dyDescent="0.25">
      <c r="A1939" s="8"/>
      <c r="B1939" s="8" t="str">
        <f t="shared" si="33"/>
        <v/>
      </c>
    </row>
    <row r="1940" spans="1:2" x14ac:dyDescent="0.25">
      <c r="A1940" s="8"/>
      <c r="B1940" s="8" t="str">
        <f t="shared" si="33"/>
        <v/>
      </c>
    </row>
    <row r="1941" spans="1:2" x14ac:dyDescent="0.25">
      <c r="A1941" s="8"/>
      <c r="B1941" s="8" t="str">
        <f t="shared" si="33"/>
        <v/>
      </c>
    </row>
    <row r="1942" spans="1:2" x14ac:dyDescent="0.25">
      <c r="A1942" s="8"/>
      <c r="B1942" s="8" t="str">
        <f t="shared" si="33"/>
        <v/>
      </c>
    </row>
    <row r="1943" spans="1:2" x14ac:dyDescent="0.25">
      <c r="A1943" s="8"/>
      <c r="B1943" s="8" t="str">
        <f t="shared" si="33"/>
        <v/>
      </c>
    </row>
    <row r="1944" spans="1:2" x14ac:dyDescent="0.25">
      <c r="A1944" s="8"/>
      <c r="B1944" s="8" t="str">
        <f t="shared" si="33"/>
        <v/>
      </c>
    </row>
    <row r="1945" spans="1:2" x14ac:dyDescent="0.25">
      <c r="A1945" s="8"/>
      <c r="B1945" s="8" t="str">
        <f t="shared" si="33"/>
        <v/>
      </c>
    </row>
    <row r="1946" spans="1:2" x14ac:dyDescent="0.25">
      <c r="A1946" s="8"/>
      <c r="B1946" s="8" t="str">
        <f t="shared" si="33"/>
        <v/>
      </c>
    </row>
    <row r="1947" spans="1:2" x14ac:dyDescent="0.25">
      <c r="A1947" s="8"/>
      <c r="B1947" s="8" t="str">
        <f t="shared" si="33"/>
        <v/>
      </c>
    </row>
    <row r="1948" spans="1:2" x14ac:dyDescent="0.25">
      <c r="A1948" s="8"/>
      <c r="B1948" s="8" t="str">
        <f t="shared" si="33"/>
        <v/>
      </c>
    </row>
    <row r="1949" spans="1:2" x14ac:dyDescent="0.25">
      <c r="A1949" s="8"/>
      <c r="B1949" s="8" t="str">
        <f t="shared" si="33"/>
        <v/>
      </c>
    </row>
    <row r="1950" spans="1:2" x14ac:dyDescent="0.25">
      <c r="A1950" s="8"/>
      <c r="B1950" s="8" t="str">
        <f t="shared" si="33"/>
        <v/>
      </c>
    </row>
    <row r="1951" spans="1:2" x14ac:dyDescent="0.25">
      <c r="A1951" s="8"/>
      <c r="B1951" s="8" t="str">
        <f t="shared" si="33"/>
        <v/>
      </c>
    </row>
    <row r="1952" spans="1:2" x14ac:dyDescent="0.25">
      <c r="A1952" s="8"/>
      <c r="B1952" s="8" t="str">
        <f t="shared" si="33"/>
        <v/>
      </c>
    </row>
    <row r="1953" spans="1:2" x14ac:dyDescent="0.25">
      <c r="A1953" s="8"/>
      <c r="B1953" s="8" t="str">
        <f t="shared" si="33"/>
        <v/>
      </c>
    </row>
    <row r="1954" spans="1:2" x14ac:dyDescent="0.25">
      <c r="A1954" s="8"/>
      <c r="B1954" s="8" t="str">
        <f t="shared" si="33"/>
        <v/>
      </c>
    </row>
    <row r="1955" spans="1:2" x14ac:dyDescent="0.25">
      <c r="A1955" s="8"/>
      <c r="B1955" s="8" t="str">
        <f t="shared" si="33"/>
        <v/>
      </c>
    </row>
    <row r="1956" spans="1:2" x14ac:dyDescent="0.25">
      <c r="A1956" s="8"/>
      <c r="B1956" s="8" t="str">
        <f t="shared" si="33"/>
        <v/>
      </c>
    </row>
    <row r="1957" spans="1:2" x14ac:dyDescent="0.25">
      <c r="A1957" s="8"/>
      <c r="B1957" s="8" t="str">
        <f t="shared" si="33"/>
        <v/>
      </c>
    </row>
    <row r="1958" spans="1:2" x14ac:dyDescent="0.25">
      <c r="A1958" s="8"/>
      <c r="B1958" s="8" t="str">
        <f t="shared" si="33"/>
        <v/>
      </c>
    </row>
    <row r="1959" spans="1:2" x14ac:dyDescent="0.25">
      <c r="A1959" s="8"/>
      <c r="B1959" s="8" t="str">
        <f t="shared" si="33"/>
        <v/>
      </c>
    </row>
    <row r="1960" spans="1:2" x14ac:dyDescent="0.25">
      <c r="A1960" s="8"/>
      <c r="B1960" s="8" t="str">
        <f t="shared" si="33"/>
        <v/>
      </c>
    </row>
    <row r="1961" spans="1:2" x14ac:dyDescent="0.25">
      <c r="A1961" s="8"/>
      <c r="B1961" s="8" t="str">
        <f t="shared" si="33"/>
        <v/>
      </c>
    </row>
    <row r="1962" spans="1:2" x14ac:dyDescent="0.25">
      <c r="A1962" s="8"/>
      <c r="B1962" s="8" t="str">
        <f t="shared" si="33"/>
        <v/>
      </c>
    </row>
    <row r="1963" spans="1:2" x14ac:dyDescent="0.25">
      <c r="A1963" s="8"/>
      <c r="B1963" s="8" t="str">
        <f t="shared" si="33"/>
        <v/>
      </c>
    </row>
    <row r="1964" spans="1:2" x14ac:dyDescent="0.25">
      <c r="A1964" s="8"/>
      <c r="B1964" s="8" t="str">
        <f t="shared" si="33"/>
        <v/>
      </c>
    </row>
    <row r="1965" spans="1:2" x14ac:dyDescent="0.25">
      <c r="A1965" s="8"/>
      <c r="B1965" s="8" t="str">
        <f t="shared" si="33"/>
        <v/>
      </c>
    </row>
    <row r="1966" spans="1:2" x14ac:dyDescent="0.25">
      <c r="A1966" s="8"/>
      <c r="B1966" s="8" t="str">
        <f t="shared" si="33"/>
        <v/>
      </c>
    </row>
    <row r="1967" spans="1:2" x14ac:dyDescent="0.25">
      <c r="A1967" s="8"/>
      <c r="B1967" s="8" t="str">
        <f t="shared" si="33"/>
        <v/>
      </c>
    </row>
    <row r="1968" spans="1:2" x14ac:dyDescent="0.25">
      <c r="A1968" s="8"/>
      <c r="B1968" s="8" t="str">
        <f t="shared" si="33"/>
        <v/>
      </c>
    </row>
    <row r="1969" spans="1:2" x14ac:dyDescent="0.25">
      <c r="A1969" s="8"/>
      <c r="B1969" s="8" t="str">
        <f t="shared" si="33"/>
        <v/>
      </c>
    </row>
    <row r="1970" spans="1:2" x14ac:dyDescent="0.25">
      <c r="A1970" s="8"/>
      <c r="B1970" s="8" t="str">
        <f t="shared" si="33"/>
        <v/>
      </c>
    </row>
    <row r="1971" spans="1:2" x14ac:dyDescent="0.25">
      <c r="A1971" s="8"/>
      <c r="B1971" s="8" t="str">
        <f t="shared" si="33"/>
        <v/>
      </c>
    </row>
    <row r="1972" spans="1:2" x14ac:dyDescent="0.25">
      <c r="A1972" s="8"/>
      <c r="B1972" s="8" t="str">
        <f t="shared" si="33"/>
        <v/>
      </c>
    </row>
    <row r="1973" spans="1:2" x14ac:dyDescent="0.25">
      <c r="A1973" s="8"/>
      <c r="B1973" s="8" t="str">
        <f t="shared" si="33"/>
        <v/>
      </c>
    </row>
    <row r="1974" spans="1:2" x14ac:dyDescent="0.25">
      <c r="A1974" s="8"/>
      <c r="B1974" s="8" t="str">
        <f t="shared" si="33"/>
        <v/>
      </c>
    </row>
    <row r="1975" spans="1:2" x14ac:dyDescent="0.25">
      <c r="A1975" s="8"/>
      <c r="B1975" s="8" t="str">
        <f t="shared" si="33"/>
        <v/>
      </c>
    </row>
    <row r="1976" spans="1:2" x14ac:dyDescent="0.25">
      <c r="A1976" s="8"/>
      <c r="B1976" s="8" t="str">
        <f t="shared" si="33"/>
        <v/>
      </c>
    </row>
    <row r="1977" spans="1:2" x14ac:dyDescent="0.25">
      <c r="A1977" s="8"/>
      <c r="B1977" s="8" t="str">
        <f t="shared" si="33"/>
        <v/>
      </c>
    </row>
    <row r="1978" spans="1:2" x14ac:dyDescent="0.25">
      <c r="A1978" s="8"/>
      <c r="B1978" s="8" t="str">
        <f t="shared" si="33"/>
        <v/>
      </c>
    </row>
    <row r="1979" spans="1:2" x14ac:dyDescent="0.25">
      <c r="A1979" s="8"/>
      <c r="B1979" s="8" t="str">
        <f t="shared" si="33"/>
        <v/>
      </c>
    </row>
    <row r="1980" spans="1:2" x14ac:dyDescent="0.25">
      <c r="A1980" s="8"/>
      <c r="B1980" s="8" t="str">
        <f t="shared" si="33"/>
        <v/>
      </c>
    </row>
    <row r="1981" spans="1:2" x14ac:dyDescent="0.25">
      <c r="A1981" s="8"/>
      <c r="B1981" s="8" t="str">
        <f t="shared" si="33"/>
        <v/>
      </c>
    </row>
    <row r="1982" spans="1:2" x14ac:dyDescent="0.25">
      <c r="A1982" s="8"/>
      <c r="B1982" s="8" t="str">
        <f t="shared" si="33"/>
        <v/>
      </c>
    </row>
    <row r="1983" spans="1:2" x14ac:dyDescent="0.25">
      <c r="A1983" s="8"/>
      <c r="B1983" s="8" t="str">
        <f t="shared" si="33"/>
        <v/>
      </c>
    </row>
    <row r="1984" spans="1:2" x14ac:dyDescent="0.25">
      <c r="A1984" s="8"/>
      <c r="B1984" s="8" t="str">
        <f t="shared" si="33"/>
        <v/>
      </c>
    </row>
    <row r="1985" spans="1:2" x14ac:dyDescent="0.25">
      <c r="A1985" s="8"/>
      <c r="B1985" s="8" t="str">
        <f t="shared" si="33"/>
        <v/>
      </c>
    </row>
    <row r="1986" spans="1:2" x14ac:dyDescent="0.25">
      <c r="A1986" s="8"/>
      <c r="B1986" s="8" t="str">
        <f t="shared" si="33"/>
        <v/>
      </c>
    </row>
    <row r="1987" spans="1:2" x14ac:dyDescent="0.25">
      <c r="A1987" s="8"/>
      <c r="B1987" s="8" t="str">
        <f t="shared" si="33"/>
        <v/>
      </c>
    </row>
    <row r="1988" spans="1:2" x14ac:dyDescent="0.25">
      <c r="A1988" s="8"/>
      <c r="B1988" s="8" t="str">
        <f t="shared" ref="B1988:B2051" si="34">IF(A1988=0,"",41824+(ROUNDUP(DAYS360(41824,A1988)/7,0)*7))</f>
        <v/>
      </c>
    </row>
    <row r="1989" spans="1:2" x14ac:dyDescent="0.25">
      <c r="A1989" s="8"/>
      <c r="B1989" s="8" t="str">
        <f t="shared" si="34"/>
        <v/>
      </c>
    </row>
    <row r="1990" spans="1:2" x14ac:dyDescent="0.25">
      <c r="A1990" s="8"/>
      <c r="B1990" s="8" t="str">
        <f t="shared" si="34"/>
        <v/>
      </c>
    </row>
    <row r="1991" spans="1:2" x14ac:dyDescent="0.25">
      <c r="A1991" s="8"/>
      <c r="B1991" s="8" t="str">
        <f t="shared" si="34"/>
        <v/>
      </c>
    </row>
    <row r="1992" spans="1:2" x14ac:dyDescent="0.25">
      <c r="A1992" s="8"/>
      <c r="B1992" s="8" t="str">
        <f t="shared" si="34"/>
        <v/>
      </c>
    </row>
    <row r="1993" spans="1:2" x14ac:dyDescent="0.25">
      <c r="A1993" s="8"/>
      <c r="B1993" s="8" t="str">
        <f t="shared" si="34"/>
        <v/>
      </c>
    </row>
    <row r="1994" spans="1:2" x14ac:dyDescent="0.25">
      <c r="A1994" s="8"/>
      <c r="B1994" s="8" t="str">
        <f t="shared" si="34"/>
        <v/>
      </c>
    </row>
    <row r="1995" spans="1:2" x14ac:dyDescent="0.25">
      <c r="A1995" s="8"/>
      <c r="B1995" s="8" t="str">
        <f t="shared" si="34"/>
        <v/>
      </c>
    </row>
    <row r="1996" spans="1:2" x14ac:dyDescent="0.25">
      <c r="A1996" s="8"/>
      <c r="B1996" s="8" t="str">
        <f t="shared" si="34"/>
        <v/>
      </c>
    </row>
    <row r="1997" spans="1:2" x14ac:dyDescent="0.25">
      <c r="A1997" s="8"/>
      <c r="B1997" s="8" t="str">
        <f t="shared" si="34"/>
        <v/>
      </c>
    </row>
    <row r="1998" spans="1:2" x14ac:dyDescent="0.25">
      <c r="A1998" s="8"/>
      <c r="B1998" s="8" t="str">
        <f t="shared" si="34"/>
        <v/>
      </c>
    </row>
    <row r="1999" spans="1:2" x14ac:dyDescent="0.25">
      <c r="A1999" s="8"/>
      <c r="B1999" s="8" t="str">
        <f t="shared" si="34"/>
        <v/>
      </c>
    </row>
    <row r="2000" spans="1:2" x14ac:dyDescent="0.25">
      <c r="A2000" s="8"/>
      <c r="B2000" s="8" t="str">
        <f t="shared" si="34"/>
        <v/>
      </c>
    </row>
    <row r="2001" spans="1:2" x14ac:dyDescent="0.25">
      <c r="A2001" s="8"/>
      <c r="B2001" s="8" t="str">
        <f t="shared" si="34"/>
        <v/>
      </c>
    </row>
    <row r="2002" spans="1:2" x14ac:dyDescent="0.25">
      <c r="A2002" s="8"/>
      <c r="B2002" s="8" t="str">
        <f t="shared" si="34"/>
        <v/>
      </c>
    </row>
    <row r="2003" spans="1:2" x14ac:dyDescent="0.25">
      <c r="A2003" s="8"/>
      <c r="B2003" s="8" t="str">
        <f t="shared" si="34"/>
        <v/>
      </c>
    </row>
    <row r="2004" spans="1:2" x14ac:dyDescent="0.25">
      <c r="A2004" s="8"/>
      <c r="B2004" s="8" t="str">
        <f t="shared" si="34"/>
        <v/>
      </c>
    </row>
    <row r="2005" spans="1:2" x14ac:dyDescent="0.25">
      <c r="A2005" s="8"/>
      <c r="B2005" s="8" t="str">
        <f t="shared" si="34"/>
        <v/>
      </c>
    </row>
    <row r="2006" spans="1:2" x14ac:dyDescent="0.25">
      <c r="A2006" s="8"/>
      <c r="B2006" s="8" t="str">
        <f t="shared" si="34"/>
        <v/>
      </c>
    </row>
    <row r="2007" spans="1:2" x14ac:dyDescent="0.25">
      <c r="A2007" s="8"/>
      <c r="B2007" s="8" t="str">
        <f t="shared" si="34"/>
        <v/>
      </c>
    </row>
    <row r="2008" spans="1:2" x14ac:dyDescent="0.25">
      <c r="A2008" s="8"/>
      <c r="B2008" s="8" t="str">
        <f t="shared" si="34"/>
        <v/>
      </c>
    </row>
    <row r="2009" spans="1:2" x14ac:dyDescent="0.25">
      <c r="A2009" s="8"/>
      <c r="B2009" s="8" t="str">
        <f t="shared" si="34"/>
        <v/>
      </c>
    </row>
    <row r="2010" spans="1:2" x14ac:dyDescent="0.25">
      <c r="A2010" s="8"/>
      <c r="B2010" s="8" t="str">
        <f t="shared" si="34"/>
        <v/>
      </c>
    </row>
    <row r="2011" spans="1:2" x14ac:dyDescent="0.25">
      <c r="A2011" s="8"/>
      <c r="B2011" s="8" t="str">
        <f t="shared" si="34"/>
        <v/>
      </c>
    </row>
    <row r="2012" spans="1:2" x14ac:dyDescent="0.25">
      <c r="A2012" s="8"/>
      <c r="B2012" s="8" t="str">
        <f t="shared" si="34"/>
        <v/>
      </c>
    </row>
    <row r="2013" spans="1:2" x14ac:dyDescent="0.25">
      <c r="A2013" s="8"/>
      <c r="B2013" s="8" t="str">
        <f t="shared" si="34"/>
        <v/>
      </c>
    </row>
    <row r="2014" spans="1:2" x14ac:dyDescent="0.25">
      <c r="A2014" s="8"/>
      <c r="B2014" s="8" t="str">
        <f t="shared" si="34"/>
        <v/>
      </c>
    </row>
    <row r="2015" spans="1:2" x14ac:dyDescent="0.25">
      <c r="A2015" s="8"/>
      <c r="B2015" s="8" t="str">
        <f t="shared" si="34"/>
        <v/>
      </c>
    </row>
    <row r="2016" spans="1:2" x14ac:dyDescent="0.25">
      <c r="A2016" s="8"/>
      <c r="B2016" s="8" t="str">
        <f t="shared" si="34"/>
        <v/>
      </c>
    </row>
    <row r="2017" spans="1:2" x14ac:dyDescent="0.25">
      <c r="A2017" s="8"/>
      <c r="B2017" s="8" t="str">
        <f t="shared" si="34"/>
        <v/>
      </c>
    </row>
    <row r="2018" spans="1:2" x14ac:dyDescent="0.25">
      <c r="A2018" s="8"/>
      <c r="B2018" s="8" t="str">
        <f t="shared" si="34"/>
        <v/>
      </c>
    </row>
    <row r="2019" spans="1:2" x14ac:dyDescent="0.25">
      <c r="A2019" s="8"/>
      <c r="B2019" s="8" t="str">
        <f t="shared" si="34"/>
        <v/>
      </c>
    </row>
    <row r="2020" spans="1:2" x14ac:dyDescent="0.25">
      <c r="A2020" s="8"/>
      <c r="B2020" s="8" t="str">
        <f t="shared" si="34"/>
        <v/>
      </c>
    </row>
    <row r="2021" spans="1:2" x14ac:dyDescent="0.25">
      <c r="A2021" s="8"/>
      <c r="B2021" s="8" t="str">
        <f t="shared" si="34"/>
        <v/>
      </c>
    </row>
    <row r="2022" spans="1:2" x14ac:dyDescent="0.25">
      <c r="A2022" s="8"/>
      <c r="B2022" s="8" t="str">
        <f t="shared" si="34"/>
        <v/>
      </c>
    </row>
    <row r="2023" spans="1:2" x14ac:dyDescent="0.25">
      <c r="A2023" s="8"/>
      <c r="B2023" s="8" t="str">
        <f t="shared" si="34"/>
        <v/>
      </c>
    </row>
    <row r="2024" spans="1:2" x14ac:dyDescent="0.25">
      <c r="A2024" s="8"/>
      <c r="B2024" s="8" t="str">
        <f t="shared" si="34"/>
        <v/>
      </c>
    </row>
    <row r="2025" spans="1:2" x14ac:dyDescent="0.25">
      <c r="A2025" s="8"/>
      <c r="B2025" s="8" t="str">
        <f t="shared" si="34"/>
        <v/>
      </c>
    </row>
    <row r="2026" spans="1:2" x14ac:dyDescent="0.25">
      <c r="A2026" s="8"/>
      <c r="B2026" s="8" t="str">
        <f t="shared" si="34"/>
        <v/>
      </c>
    </row>
    <row r="2027" spans="1:2" x14ac:dyDescent="0.25">
      <c r="A2027" s="8"/>
      <c r="B2027" s="8" t="str">
        <f t="shared" si="34"/>
        <v/>
      </c>
    </row>
    <row r="2028" spans="1:2" x14ac:dyDescent="0.25">
      <c r="A2028" s="8"/>
      <c r="B2028" s="8" t="str">
        <f t="shared" si="34"/>
        <v/>
      </c>
    </row>
    <row r="2029" spans="1:2" x14ac:dyDescent="0.25">
      <c r="A2029" s="8"/>
      <c r="B2029" s="8" t="str">
        <f t="shared" si="34"/>
        <v/>
      </c>
    </row>
    <row r="2030" spans="1:2" x14ac:dyDescent="0.25">
      <c r="A2030" s="8"/>
      <c r="B2030" s="8" t="str">
        <f t="shared" si="34"/>
        <v/>
      </c>
    </row>
    <row r="2031" spans="1:2" x14ac:dyDescent="0.25">
      <c r="A2031" s="8"/>
      <c r="B2031" s="8" t="str">
        <f t="shared" si="34"/>
        <v/>
      </c>
    </row>
    <row r="2032" spans="1:2" x14ac:dyDescent="0.25">
      <c r="A2032" s="8"/>
      <c r="B2032" s="8" t="str">
        <f t="shared" si="34"/>
        <v/>
      </c>
    </row>
    <row r="2033" spans="1:2" x14ac:dyDescent="0.25">
      <c r="A2033" s="8"/>
      <c r="B2033" s="8" t="str">
        <f t="shared" si="34"/>
        <v/>
      </c>
    </row>
    <row r="2034" spans="1:2" x14ac:dyDescent="0.25">
      <c r="A2034" s="8"/>
      <c r="B2034" s="8" t="str">
        <f t="shared" si="34"/>
        <v/>
      </c>
    </row>
    <row r="2035" spans="1:2" x14ac:dyDescent="0.25">
      <c r="A2035" s="8"/>
      <c r="B2035" s="8" t="str">
        <f t="shared" si="34"/>
        <v/>
      </c>
    </row>
    <row r="2036" spans="1:2" x14ac:dyDescent="0.25">
      <c r="A2036" s="8"/>
      <c r="B2036" s="8" t="str">
        <f t="shared" si="34"/>
        <v/>
      </c>
    </row>
    <row r="2037" spans="1:2" x14ac:dyDescent="0.25">
      <c r="A2037" s="8"/>
      <c r="B2037" s="8" t="str">
        <f t="shared" si="34"/>
        <v/>
      </c>
    </row>
    <row r="2038" spans="1:2" x14ac:dyDescent="0.25">
      <c r="A2038" s="8"/>
      <c r="B2038" s="8" t="str">
        <f t="shared" si="34"/>
        <v/>
      </c>
    </row>
    <row r="2039" spans="1:2" x14ac:dyDescent="0.25">
      <c r="A2039" s="8"/>
      <c r="B2039" s="8" t="str">
        <f t="shared" si="34"/>
        <v/>
      </c>
    </row>
    <row r="2040" spans="1:2" x14ac:dyDescent="0.25">
      <c r="A2040" s="8"/>
      <c r="B2040" s="8" t="str">
        <f t="shared" si="34"/>
        <v/>
      </c>
    </row>
    <row r="2041" spans="1:2" x14ac:dyDescent="0.25">
      <c r="A2041" s="8"/>
      <c r="B2041" s="8" t="str">
        <f t="shared" si="34"/>
        <v/>
      </c>
    </row>
    <row r="2042" spans="1:2" x14ac:dyDescent="0.25">
      <c r="A2042" s="8"/>
      <c r="B2042" s="8" t="str">
        <f t="shared" si="34"/>
        <v/>
      </c>
    </row>
    <row r="2043" spans="1:2" x14ac:dyDescent="0.25">
      <c r="A2043" s="8"/>
      <c r="B2043" s="8" t="str">
        <f t="shared" si="34"/>
        <v/>
      </c>
    </row>
    <row r="2044" spans="1:2" x14ac:dyDescent="0.25">
      <c r="A2044" s="8"/>
      <c r="B2044" s="8" t="str">
        <f t="shared" si="34"/>
        <v/>
      </c>
    </row>
    <row r="2045" spans="1:2" x14ac:dyDescent="0.25">
      <c r="A2045" s="8"/>
      <c r="B2045" s="8" t="str">
        <f t="shared" si="34"/>
        <v/>
      </c>
    </row>
    <row r="2046" spans="1:2" x14ac:dyDescent="0.25">
      <c r="A2046" s="8"/>
      <c r="B2046" s="8" t="str">
        <f t="shared" si="34"/>
        <v/>
      </c>
    </row>
    <row r="2047" spans="1:2" x14ac:dyDescent="0.25">
      <c r="A2047" s="8"/>
      <c r="B2047" s="8" t="str">
        <f t="shared" si="34"/>
        <v/>
      </c>
    </row>
    <row r="2048" spans="1:2" x14ac:dyDescent="0.25">
      <c r="A2048" s="8"/>
      <c r="B2048" s="8" t="str">
        <f t="shared" si="34"/>
        <v/>
      </c>
    </row>
    <row r="2049" spans="1:2" x14ac:dyDescent="0.25">
      <c r="A2049" s="8"/>
      <c r="B2049" s="8" t="str">
        <f t="shared" si="34"/>
        <v/>
      </c>
    </row>
    <row r="2050" spans="1:2" x14ac:dyDescent="0.25">
      <c r="A2050" s="8"/>
      <c r="B2050" s="8" t="str">
        <f t="shared" si="34"/>
        <v/>
      </c>
    </row>
    <row r="2051" spans="1:2" x14ac:dyDescent="0.25">
      <c r="A2051" s="8"/>
      <c r="B2051" s="8" t="str">
        <f t="shared" si="34"/>
        <v/>
      </c>
    </row>
    <row r="2052" spans="1:2" x14ac:dyDescent="0.25">
      <c r="A2052" s="8"/>
      <c r="B2052" s="8" t="str">
        <f t="shared" ref="B2052:B2115" si="35">IF(A2052=0,"",41824+(ROUNDUP(DAYS360(41824,A2052)/7,0)*7))</f>
        <v/>
      </c>
    </row>
    <row r="2053" spans="1:2" x14ac:dyDescent="0.25">
      <c r="A2053" s="8"/>
      <c r="B2053" s="8" t="str">
        <f t="shared" si="35"/>
        <v/>
      </c>
    </row>
    <row r="2054" spans="1:2" x14ac:dyDescent="0.25">
      <c r="A2054" s="8"/>
      <c r="B2054" s="8" t="str">
        <f t="shared" si="35"/>
        <v/>
      </c>
    </row>
    <row r="2055" spans="1:2" x14ac:dyDescent="0.25">
      <c r="A2055" s="8"/>
      <c r="B2055" s="8" t="str">
        <f t="shared" si="35"/>
        <v/>
      </c>
    </row>
    <row r="2056" spans="1:2" x14ac:dyDescent="0.25">
      <c r="A2056" s="8"/>
      <c r="B2056" s="8" t="str">
        <f t="shared" si="35"/>
        <v/>
      </c>
    </row>
    <row r="2057" spans="1:2" x14ac:dyDescent="0.25">
      <c r="A2057" s="8"/>
      <c r="B2057" s="8" t="str">
        <f t="shared" si="35"/>
        <v/>
      </c>
    </row>
    <row r="2058" spans="1:2" x14ac:dyDescent="0.25">
      <c r="A2058" s="8"/>
      <c r="B2058" s="8" t="str">
        <f t="shared" si="35"/>
        <v/>
      </c>
    </row>
    <row r="2059" spans="1:2" x14ac:dyDescent="0.25">
      <c r="A2059" s="8"/>
      <c r="B2059" s="8" t="str">
        <f t="shared" si="35"/>
        <v/>
      </c>
    </row>
    <row r="2060" spans="1:2" x14ac:dyDescent="0.25">
      <c r="A2060" s="8"/>
      <c r="B2060" s="8" t="str">
        <f t="shared" si="35"/>
        <v/>
      </c>
    </row>
    <row r="2061" spans="1:2" x14ac:dyDescent="0.25">
      <c r="A2061" s="8"/>
      <c r="B2061" s="8" t="str">
        <f t="shared" si="35"/>
        <v/>
      </c>
    </row>
    <row r="2062" spans="1:2" x14ac:dyDescent="0.25">
      <c r="A2062" s="8"/>
      <c r="B2062" s="8" t="str">
        <f t="shared" si="35"/>
        <v/>
      </c>
    </row>
    <row r="2063" spans="1:2" x14ac:dyDescent="0.25">
      <c r="A2063" s="8"/>
      <c r="B2063" s="8" t="str">
        <f t="shared" si="35"/>
        <v/>
      </c>
    </row>
    <row r="2064" spans="1:2" x14ac:dyDescent="0.25">
      <c r="A2064" s="8"/>
      <c r="B2064" s="8" t="str">
        <f t="shared" si="35"/>
        <v/>
      </c>
    </row>
    <row r="2065" spans="1:2" x14ac:dyDescent="0.25">
      <c r="A2065" s="8"/>
      <c r="B2065" s="8" t="str">
        <f t="shared" si="35"/>
        <v/>
      </c>
    </row>
    <row r="2066" spans="1:2" x14ac:dyDescent="0.25">
      <c r="A2066" s="8"/>
      <c r="B2066" s="8" t="str">
        <f t="shared" si="35"/>
        <v/>
      </c>
    </row>
    <row r="2067" spans="1:2" x14ac:dyDescent="0.25">
      <c r="A2067" s="8"/>
      <c r="B2067" s="8" t="str">
        <f t="shared" si="35"/>
        <v/>
      </c>
    </row>
    <row r="2068" spans="1:2" x14ac:dyDescent="0.25">
      <c r="A2068" s="8"/>
      <c r="B2068" s="8" t="str">
        <f t="shared" si="35"/>
        <v/>
      </c>
    </row>
    <row r="2069" spans="1:2" x14ac:dyDescent="0.25">
      <c r="A2069" s="8"/>
      <c r="B2069" s="8" t="str">
        <f t="shared" si="35"/>
        <v/>
      </c>
    </row>
    <row r="2070" spans="1:2" x14ac:dyDescent="0.25">
      <c r="A2070" s="8"/>
      <c r="B2070" s="8" t="str">
        <f t="shared" si="35"/>
        <v/>
      </c>
    </row>
    <row r="2071" spans="1:2" x14ac:dyDescent="0.25">
      <c r="A2071" s="8"/>
      <c r="B2071" s="8" t="str">
        <f t="shared" si="35"/>
        <v/>
      </c>
    </row>
    <row r="2072" spans="1:2" x14ac:dyDescent="0.25">
      <c r="A2072" s="8"/>
      <c r="B2072" s="8" t="str">
        <f t="shared" si="35"/>
        <v/>
      </c>
    </row>
    <row r="2073" spans="1:2" x14ac:dyDescent="0.25">
      <c r="A2073" s="8"/>
      <c r="B2073" s="8" t="str">
        <f t="shared" si="35"/>
        <v/>
      </c>
    </row>
    <row r="2074" spans="1:2" x14ac:dyDescent="0.25">
      <c r="A2074" s="8"/>
      <c r="B2074" s="8" t="str">
        <f t="shared" si="35"/>
        <v/>
      </c>
    </row>
    <row r="2075" spans="1:2" x14ac:dyDescent="0.25">
      <c r="A2075" s="8"/>
      <c r="B2075" s="8" t="str">
        <f t="shared" si="35"/>
        <v/>
      </c>
    </row>
    <row r="2076" spans="1:2" x14ac:dyDescent="0.25">
      <c r="A2076" s="8"/>
      <c r="B2076" s="8" t="str">
        <f t="shared" si="35"/>
        <v/>
      </c>
    </row>
    <row r="2077" spans="1:2" x14ac:dyDescent="0.25">
      <c r="A2077" s="8"/>
      <c r="B2077" s="8" t="str">
        <f t="shared" si="35"/>
        <v/>
      </c>
    </row>
    <row r="2078" spans="1:2" x14ac:dyDescent="0.25">
      <c r="A2078" s="8"/>
      <c r="B2078" s="8" t="str">
        <f t="shared" si="35"/>
        <v/>
      </c>
    </row>
    <row r="2079" spans="1:2" x14ac:dyDescent="0.25">
      <c r="A2079" s="8"/>
      <c r="B2079" s="8" t="str">
        <f t="shared" si="35"/>
        <v/>
      </c>
    </row>
    <row r="2080" spans="1:2" x14ac:dyDescent="0.25">
      <c r="A2080" s="8"/>
      <c r="B2080" s="8" t="str">
        <f t="shared" si="35"/>
        <v/>
      </c>
    </row>
    <row r="2081" spans="1:2" x14ac:dyDescent="0.25">
      <c r="A2081" s="8"/>
      <c r="B2081" s="8" t="str">
        <f t="shared" si="35"/>
        <v/>
      </c>
    </row>
    <row r="2082" spans="1:2" x14ac:dyDescent="0.25">
      <c r="A2082" s="8"/>
      <c r="B2082" s="8" t="str">
        <f t="shared" si="35"/>
        <v/>
      </c>
    </row>
    <row r="2083" spans="1:2" x14ac:dyDescent="0.25">
      <c r="A2083" s="8"/>
      <c r="B2083" s="8" t="str">
        <f t="shared" si="35"/>
        <v/>
      </c>
    </row>
    <row r="2084" spans="1:2" x14ac:dyDescent="0.25">
      <c r="A2084" s="8"/>
      <c r="B2084" s="8" t="str">
        <f t="shared" si="35"/>
        <v/>
      </c>
    </row>
    <row r="2085" spans="1:2" x14ac:dyDescent="0.25">
      <c r="A2085" s="8"/>
      <c r="B2085" s="8" t="str">
        <f t="shared" si="35"/>
        <v/>
      </c>
    </row>
    <row r="2086" spans="1:2" x14ac:dyDescent="0.25">
      <c r="A2086" s="8"/>
      <c r="B2086" s="8" t="str">
        <f t="shared" si="35"/>
        <v/>
      </c>
    </row>
    <row r="2087" spans="1:2" x14ac:dyDescent="0.25">
      <c r="A2087" s="8"/>
      <c r="B2087" s="8" t="str">
        <f t="shared" si="35"/>
        <v/>
      </c>
    </row>
    <row r="2088" spans="1:2" x14ac:dyDescent="0.25">
      <c r="A2088" s="8"/>
      <c r="B2088" s="8" t="str">
        <f t="shared" si="35"/>
        <v/>
      </c>
    </row>
    <row r="2089" spans="1:2" x14ac:dyDescent="0.25">
      <c r="A2089" s="8"/>
      <c r="B2089" s="8" t="str">
        <f t="shared" si="35"/>
        <v/>
      </c>
    </row>
    <row r="2090" spans="1:2" x14ac:dyDescent="0.25">
      <c r="A2090" s="8"/>
      <c r="B2090" s="8" t="str">
        <f t="shared" si="35"/>
        <v/>
      </c>
    </row>
    <row r="2091" spans="1:2" x14ac:dyDescent="0.25">
      <c r="A2091" s="8"/>
      <c r="B2091" s="8" t="str">
        <f t="shared" si="35"/>
        <v/>
      </c>
    </row>
    <row r="2092" spans="1:2" x14ac:dyDescent="0.25">
      <c r="A2092" s="8"/>
      <c r="B2092" s="8" t="str">
        <f t="shared" si="35"/>
        <v/>
      </c>
    </row>
    <row r="2093" spans="1:2" x14ac:dyDescent="0.25">
      <c r="A2093" s="8"/>
      <c r="B2093" s="8" t="str">
        <f t="shared" si="35"/>
        <v/>
      </c>
    </row>
    <row r="2094" spans="1:2" x14ac:dyDescent="0.25">
      <c r="A2094" s="8"/>
      <c r="B2094" s="8" t="str">
        <f t="shared" si="35"/>
        <v/>
      </c>
    </row>
    <row r="2095" spans="1:2" x14ac:dyDescent="0.25">
      <c r="A2095" s="8"/>
      <c r="B2095" s="8" t="str">
        <f t="shared" si="35"/>
        <v/>
      </c>
    </row>
    <row r="2096" spans="1:2" x14ac:dyDescent="0.25">
      <c r="A2096" s="8"/>
      <c r="B2096" s="8" t="str">
        <f t="shared" si="35"/>
        <v/>
      </c>
    </row>
    <row r="2097" spans="1:2" x14ac:dyDescent="0.25">
      <c r="A2097" s="8"/>
      <c r="B2097" s="8" t="str">
        <f t="shared" si="35"/>
        <v/>
      </c>
    </row>
    <row r="2098" spans="1:2" x14ac:dyDescent="0.25">
      <c r="A2098" s="8"/>
      <c r="B2098" s="8" t="str">
        <f t="shared" si="35"/>
        <v/>
      </c>
    </row>
    <row r="2099" spans="1:2" x14ac:dyDescent="0.25">
      <c r="A2099" s="8"/>
      <c r="B2099" s="8" t="str">
        <f t="shared" si="35"/>
        <v/>
      </c>
    </row>
    <row r="2100" spans="1:2" x14ac:dyDescent="0.25">
      <c r="A2100" s="8"/>
      <c r="B2100" s="8" t="str">
        <f t="shared" si="35"/>
        <v/>
      </c>
    </row>
    <row r="2101" spans="1:2" x14ac:dyDescent="0.25">
      <c r="A2101" s="8"/>
      <c r="B2101" s="8" t="str">
        <f t="shared" si="35"/>
        <v/>
      </c>
    </row>
    <row r="2102" spans="1:2" x14ac:dyDescent="0.25">
      <c r="A2102" s="8"/>
      <c r="B2102" s="8" t="str">
        <f t="shared" si="35"/>
        <v/>
      </c>
    </row>
    <row r="2103" spans="1:2" x14ac:dyDescent="0.25">
      <c r="A2103" s="8"/>
      <c r="B2103" s="8" t="str">
        <f t="shared" si="35"/>
        <v/>
      </c>
    </row>
    <row r="2104" spans="1:2" x14ac:dyDescent="0.25">
      <c r="A2104" s="8"/>
      <c r="B2104" s="8" t="str">
        <f t="shared" si="35"/>
        <v/>
      </c>
    </row>
    <row r="2105" spans="1:2" x14ac:dyDescent="0.25">
      <c r="A2105" s="8"/>
      <c r="B2105" s="8" t="str">
        <f t="shared" si="35"/>
        <v/>
      </c>
    </row>
    <row r="2106" spans="1:2" x14ac:dyDescent="0.25">
      <c r="A2106" s="8"/>
      <c r="B2106" s="8" t="str">
        <f t="shared" si="35"/>
        <v/>
      </c>
    </row>
    <row r="2107" spans="1:2" x14ac:dyDescent="0.25">
      <c r="A2107" s="8"/>
      <c r="B2107" s="8" t="str">
        <f t="shared" si="35"/>
        <v/>
      </c>
    </row>
    <row r="2108" spans="1:2" x14ac:dyDescent="0.25">
      <c r="A2108" s="8"/>
      <c r="B2108" s="8" t="str">
        <f t="shared" si="35"/>
        <v/>
      </c>
    </row>
    <row r="2109" spans="1:2" x14ac:dyDescent="0.25">
      <c r="A2109" s="8"/>
      <c r="B2109" s="8" t="str">
        <f t="shared" si="35"/>
        <v/>
      </c>
    </row>
    <row r="2110" spans="1:2" x14ac:dyDescent="0.25">
      <c r="A2110" s="8"/>
      <c r="B2110" s="8" t="str">
        <f t="shared" si="35"/>
        <v/>
      </c>
    </row>
    <row r="2111" spans="1:2" x14ac:dyDescent="0.25">
      <c r="A2111" s="8"/>
      <c r="B2111" s="8" t="str">
        <f t="shared" si="35"/>
        <v/>
      </c>
    </row>
    <row r="2112" spans="1:2" x14ac:dyDescent="0.25">
      <c r="A2112" s="8"/>
      <c r="B2112" s="8" t="str">
        <f t="shared" si="35"/>
        <v/>
      </c>
    </row>
    <row r="2113" spans="1:2" x14ac:dyDescent="0.25">
      <c r="A2113" s="8"/>
      <c r="B2113" s="8" t="str">
        <f t="shared" si="35"/>
        <v/>
      </c>
    </row>
    <row r="2114" spans="1:2" x14ac:dyDescent="0.25">
      <c r="A2114" s="8"/>
      <c r="B2114" s="8" t="str">
        <f t="shared" si="35"/>
        <v/>
      </c>
    </row>
    <row r="2115" spans="1:2" x14ac:dyDescent="0.25">
      <c r="A2115" s="8"/>
      <c r="B2115" s="8" t="str">
        <f t="shared" si="35"/>
        <v/>
      </c>
    </row>
    <row r="2116" spans="1:2" x14ac:dyDescent="0.25">
      <c r="A2116" s="8"/>
      <c r="B2116" s="8" t="str">
        <f t="shared" ref="B2116:B2179" si="36">IF(A2116=0,"",41824+(ROUNDUP(DAYS360(41824,A2116)/7,0)*7))</f>
        <v/>
      </c>
    </row>
    <row r="2117" spans="1:2" x14ac:dyDescent="0.25">
      <c r="A2117" s="8"/>
      <c r="B2117" s="8" t="str">
        <f t="shared" si="36"/>
        <v/>
      </c>
    </row>
    <row r="2118" spans="1:2" x14ac:dyDescent="0.25">
      <c r="A2118" s="8"/>
      <c r="B2118" s="8" t="str">
        <f t="shared" si="36"/>
        <v/>
      </c>
    </row>
    <row r="2119" spans="1:2" x14ac:dyDescent="0.25">
      <c r="A2119" s="8"/>
      <c r="B2119" s="8" t="str">
        <f t="shared" si="36"/>
        <v/>
      </c>
    </row>
    <row r="2120" spans="1:2" x14ac:dyDescent="0.25">
      <c r="A2120" s="8"/>
      <c r="B2120" s="8" t="str">
        <f t="shared" si="36"/>
        <v/>
      </c>
    </row>
    <row r="2121" spans="1:2" x14ac:dyDescent="0.25">
      <c r="A2121" s="8"/>
      <c r="B2121" s="8" t="str">
        <f t="shared" si="36"/>
        <v/>
      </c>
    </row>
    <row r="2122" spans="1:2" x14ac:dyDescent="0.25">
      <c r="A2122" s="8"/>
      <c r="B2122" s="8" t="str">
        <f t="shared" si="36"/>
        <v/>
      </c>
    </row>
    <row r="2123" spans="1:2" x14ac:dyDescent="0.25">
      <c r="A2123" s="8"/>
      <c r="B2123" s="8" t="str">
        <f t="shared" si="36"/>
        <v/>
      </c>
    </row>
    <row r="2124" spans="1:2" x14ac:dyDescent="0.25">
      <c r="A2124" s="8"/>
      <c r="B2124" s="8" t="str">
        <f t="shared" si="36"/>
        <v/>
      </c>
    </row>
    <row r="2125" spans="1:2" x14ac:dyDescent="0.25">
      <c r="A2125" s="8"/>
      <c r="B2125" s="8" t="str">
        <f t="shared" si="36"/>
        <v/>
      </c>
    </row>
    <row r="2126" spans="1:2" x14ac:dyDescent="0.25">
      <c r="A2126" s="8"/>
      <c r="B2126" s="8" t="str">
        <f t="shared" si="36"/>
        <v/>
      </c>
    </row>
    <row r="2127" spans="1:2" x14ac:dyDescent="0.25">
      <c r="A2127" s="8"/>
      <c r="B2127" s="8" t="str">
        <f t="shared" si="36"/>
        <v/>
      </c>
    </row>
    <row r="2128" spans="1:2" x14ac:dyDescent="0.25">
      <c r="A2128" s="8"/>
      <c r="B2128" s="8" t="str">
        <f t="shared" si="36"/>
        <v/>
      </c>
    </row>
    <row r="2129" spans="1:2" x14ac:dyDescent="0.25">
      <c r="A2129" s="8"/>
      <c r="B2129" s="8" t="str">
        <f t="shared" si="36"/>
        <v/>
      </c>
    </row>
    <row r="2130" spans="1:2" x14ac:dyDescent="0.25">
      <c r="A2130" s="8"/>
      <c r="B2130" s="8" t="str">
        <f t="shared" si="36"/>
        <v/>
      </c>
    </row>
    <row r="2131" spans="1:2" x14ac:dyDescent="0.25">
      <c r="A2131" s="8"/>
      <c r="B2131" s="8" t="str">
        <f t="shared" si="36"/>
        <v/>
      </c>
    </row>
    <row r="2132" spans="1:2" x14ac:dyDescent="0.25">
      <c r="A2132" s="8"/>
      <c r="B2132" s="8" t="str">
        <f t="shared" si="36"/>
        <v/>
      </c>
    </row>
    <row r="2133" spans="1:2" x14ac:dyDescent="0.25">
      <c r="A2133" s="8"/>
      <c r="B2133" s="8" t="str">
        <f t="shared" si="36"/>
        <v/>
      </c>
    </row>
    <row r="2134" spans="1:2" x14ac:dyDescent="0.25">
      <c r="A2134" s="8"/>
      <c r="B2134" s="8" t="str">
        <f t="shared" si="36"/>
        <v/>
      </c>
    </row>
    <row r="2135" spans="1:2" x14ac:dyDescent="0.25">
      <c r="A2135" s="8"/>
      <c r="B2135" s="8" t="str">
        <f t="shared" si="36"/>
        <v/>
      </c>
    </row>
    <row r="2136" spans="1:2" x14ac:dyDescent="0.25">
      <c r="A2136" s="8"/>
      <c r="B2136" s="8" t="str">
        <f t="shared" si="36"/>
        <v/>
      </c>
    </row>
    <row r="2137" spans="1:2" x14ac:dyDescent="0.25">
      <c r="A2137" s="8"/>
      <c r="B2137" s="8" t="str">
        <f t="shared" si="36"/>
        <v/>
      </c>
    </row>
    <row r="2138" spans="1:2" x14ac:dyDescent="0.25">
      <c r="A2138" s="8"/>
      <c r="B2138" s="8" t="str">
        <f t="shared" si="36"/>
        <v/>
      </c>
    </row>
    <row r="2139" spans="1:2" x14ac:dyDescent="0.25">
      <c r="A2139" s="8"/>
      <c r="B2139" s="8" t="str">
        <f t="shared" si="36"/>
        <v/>
      </c>
    </row>
    <row r="2140" spans="1:2" x14ac:dyDescent="0.25">
      <c r="A2140" s="8"/>
      <c r="B2140" s="8" t="str">
        <f t="shared" si="36"/>
        <v/>
      </c>
    </row>
    <row r="2141" spans="1:2" x14ac:dyDescent="0.25">
      <c r="A2141" s="8"/>
      <c r="B2141" s="8" t="str">
        <f t="shared" si="36"/>
        <v/>
      </c>
    </row>
    <row r="2142" spans="1:2" x14ac:dyDescent="0.25">
      <c r="A2142" s="8"/>
      <c r="B2142" s="8" t="str">
        <f t="shared" si="36"/>
        <v/>
      </c>
    </row>
    <row r="2143" spans="1:2" x14ac:dyDescent="0.25">
      <c r="A2143" s="8"/>
      <c r="B2143" s="8" t="str">
        <f t="shared" si="36"/>
        <v/>
      </c>
    </row>
    <row r="2144" spans="1:2" x14ac:dyDescent="0.25">
      <c r="A2144" s="8"/>
      <c r="B2144" s="8" t="str">
        <f t="shared" si="36"/>
        <v/>
      </c>
    </row>
    <row r="2145" spans="1:2" x14ac:dyDescent="0.25">
      <c r="A2145" s="8"/>
      <c r="B2145" s="8" t="str">
        <f t="shared" si="36"/>
        <v/>
      </c>
    </row>
    <row r="2146" spans="1:2" x14ac:dyDescent="0.25">
      <c r="A2146" s="8"/>
      <c r="B2146" s="8" t="str">
        <f t="shared" si="36"/>
        <v/>
      </c>
    </row>
    <row r="2147" spans="1:2" x14ac:dyDescent="0.25">
      <c r="A2147" s="8"/>
      <c r="B2147" s="8" t="str">
        <f t="shared" si="36"/>
        <v/>
      </c>
    </row>
    <row r="2148" spans="1:2" x14ac:dyDescent="0.25">
      <c r="A2148" s="8"/>
      <c r="B2148" s="8" t="str">
        <f t="shared" si="36"/>
        <v/>
      </c>
    </row>
    <row r="2149" spans="1:2" x14ac:dyDescent="0.25">
      <c r="A2149" s="8"/>
      <c r="B2149" s="8" t="str">
        <f t="shared" si="36"/>
        <v/>
      </c>
    </row>
    <row r="2150" spans="1:2" x14ac:dyDescent="0.25">
      <c r="A2150" s="8"/>
      <c r="B2150" s="8" t="str">
        <f t="shared" si="36"/>
        <v/>
      </c>
    </row>
    <row r="2151" spans="1:2" x14ac:dyDescent="0.25">
      <c r="A2151" s="8"/>
      <c r="B2151" s="8" t="str">
        <f t="shared" si="36"/>
        <v/>
      </c>
    </row>
    <row r="2152" spans="1:2" x14ac:dyDescent="0.25">
      <c r="A2152" s="8"/>
      <c r="B2152" s="8" t="str">
        <f t="shared" si="36"/>
        <v/>
      </c>
    </row>
    <row r="2153" spans="1:2" x14ac:dyDescent="0.25">
      <c r="A2153" s="8"/>
      <c r="B2153" s="8" t="str">
        <f t="shared" si="36"/>
        <v/>
      </c>
    </row>
    <row r="2154" spans="1:2" x14ac:dyDescent="0.25">
      <c r="A2154" s="8"/>
      <c r="B2154" s="8" t="str">
        <f t="shared" si="36"/>
        <v/>
      </c>
    </row>
    <row r="2155" spans="1:2" x14ac:dyDescent="0.25">
      <c r="A2155" s="8"/>
      <c r="B2155" s="8" t="str">
        <f t="shared" si="36"/>
        <v/>
      </c>
    </row>
    <row r="2156" spans="1:2" x14ac:dyDescent="0.25">
      <c r="A2156" s="8"/>
      <c r="B2156" s="8" t="str">
        <f t="shared" si="36"/>
        <v/>
      </c>
    </row>
    <row r="2157" spans="1:2" x14ac:dyDescent="0.25">
      <c r="A2157" s="8"/>
      <c r="B2157" s="8" t="str">
        <f t="shared" si="36"/>
        <v/>
      </c>
    </row>
    <row r="2158" spans="1:2" x14ac:dyDescent="0.25">
      <c r="A2158" s="8"/>
      <c r="B2158" s="8" t="str">
        <f t="shared" si="36"/>
        <v/>
      </c>
    </row>
    <row r="2159" spans="1:2" x14ac:dyDescent="0.25">
      <c r="A2159" s="8"/>
      <c r="B2159" s="8" t="str">
        <f t="shared" si="36"/>
        <v/>
      </c>
    </row>
    <row r="2160" spans="1:2" x14ac:dyDescent="0.25">
      <c r="A2160" s="8"/>
      <c r="B2160" s="8" t="str">
        <f t="shared" si="36"/>
        <v/>
      </c>
    </row>
    <row r="2161" spans="1:2" x14ac:dyDescent="0.25">
      <c r="A2161" s="8"/>
      <c r="B2161" s="8" t="str">
        <f t="shared" si="36"/>
        <v/>
      </c>
    </row>
    <row r="2162" spans="1:2" x14ac:dyDescent="0.25">
      <c r="A2162" s="8"/>
      <c r="B2162" s="8" t="str">
        <f t="shared" si="36"/>
        <v/>
      </c>
    </row>
    <row r="2163" spans="1:2" x14ac:dyDescent="0.25">
      <c r="A2163" s="8"/>
      <c r="B2163" s="8" t="str">
        <f t="shared" si="36"/>
        <v/>
      </c>
    </row>
    <row r="2164" spans="1:2" x14ac:dyDescent="0.25">
      <c r="A2164" s="8"/>
      <c r="B2164" s="8" t="str">
        <f t="shared" si="36"/>
        <v/>
      </c>
    </row>
    <row r="2165" spans="1:2" x14ac:dyDescent="0.25">
      <c r="A2165" s="8"/>
      <c r="B2165" s="8" t="str">
        <f t="shared" si="36"/>
        <v/>
      </c>
    </row>
    <row r="2166" spans="1:2" x14ac:dyDescent="0.25">
      <c r="A2166" s="8"/>
      <c r="B2166" s="8" t="str">
        <f t="shared" si="36"/>
        <v/>
      </c>
    </row>
    <row r="2167" spans="1:2" x14ac:dyDescent="0.25">
      <c r="A2167" s="8"/>
      <c r="B2167" s="8" t="str">
        <f t="shared" si="36"/>
        <v/>
      </c>
    </row>
    <row r="2168" spans="1:2" x14ac:dyDescent="0.25">
      <c r="A2168" s="8"/>
      <c r="B2168" s="8" t="str">
        <f t="shared" si="36"/>
        <v/>
      </c>
    </row>
    <row r="2169" spans="1:2" x14ac:dyDescent="0.25">
      <c r="A2169" s="8"/>
      <c r="B2169" s="8" t="str">
        <f t="shared" si="36"/>
        <v/>
      </c>
    </row>
    <row r="2170" spans="1:2" x14ac:dyDescent="0.25">
      <c r="A2170" s="8"/>
      <c r="B2170" s="8" t="str">
        <f t="shared" si="36"/>
        <v/>
      </c>
    </row>
    <row r="2171" spans="1:2" x14ac:dyDescent="0.25">
      <c r="A2171" s="8"/>
      <c r="B2171" s="8" t="str">
        <f t="shared" si="36"/>
        <v/>
      </c>
    </row>
    <row r="2172" spans="1:2" x14ac:dyDescent="0.25">
      <c r="A2172" s="8"/>
      <c r="B2172" s="8" t="str">
        <f t="shared" si="36"/>
        <v/>
      </c>
    </row>
    <row r="2173" spans="1:2" x14ac:dyDescent="0.25">
      <c r="A2173" s="8"/>
      <c r="B2173" s="8" t="str">
        <f t="shared" si="36"/>
        <v/>
      </c>
    </row>
    <row r="2174" spans="1:2" x14ac:dyDescent="0.25">
      <c r="A2174" s="8"/>
      <c r="B2174" s="8" t="str">
        <f t="shared" si="36"/>
        <v/>
      </c>
    </row>
    <row r="2175" spans="1:2" x14ac:dyDescent="0.25">
      <c r="A2175" s="8"/>
      <c r="B2175" s="8" t="str">
        <f t="shared" si="36"/>
        <v/>
      </c>
    </row>
    <row r="2176" spans="1:2" x14ac:dyDescent="0.25">
      <c r="A2176" s="8"/>
      <c r="B2176" s="8" t="str">
        <f t="shared" si="36"/>
        <v/>
      </c>
    </row>
    <row r="2177" spans="1:2" x14ac:dyDescent="0.25">
      <c r="A2177" s="8"/>
      <c r="B2177" s="8" t="str">
        <f t="shared" si="36"/>
        <v/>
      </c>
    </row>
    <row r="2178" spans="1:2" x14ac:dyDescent="0.25">
      <c r="A2178" s="8"/>
      <c r="B2178" s="8" t="str">
        <f t="shared" si="36"/>
        <v/>
      </c>
    </row>
    <row r="2179" spans="1:2" x14ac:dyDescent="0.25">
      <c r="A2179" s="8"/>
      <c r="B2179" s="8" t="str">
        <f t="shared" si="36"/>
        <v/>
      </c>
    </row>
    <row r="2180" spans="1:2" x14ac:dyDescent="0.25">
      <c r="A2180" s="8"/>
      <c r="B2180" s="8" t="str">
        <f t="shared" ref="B2180:B2243" si="37">IF(A2180=0,"",41824+(ROUNDUP(DAYS360(41824,A2180)/7,0)*7))</f>
        <v/>
      </c>
    </row>
    <row r="2181" spans="1:2" x14ac:dyDescent="0.25">
      <c r="A2181" s="8"/>
      <c r="B2181" s="8" t="str">
        <f t="shared" si="37"/>
        <v/>
      </c>
    </row>
    <row r="2182" spans="1:2" x14ac:dyDescent="0.25">
      <c r="A2182" s="8"/>
      <c r="B2182" s="8" t="str">
        <f t="shared" si="37"/>
        <v/>
      </c>
    </row>
    <row r="2183" spans="1:2" x14ac:dyDescent="0.25">
      <c r="A2183" s="8"/>
      <c r="B2183" s="8" t="str">
        <f t="shared" si="37"/>
        <v/>
      </c>
    </row>
    <row r="2184" spans="1:2" x14ac:dyDescent="0.25">
      <c r="A2184" s="8"/>
      <c r="B2184" s="8" t="str">
        <f t="shared" si="37"/>
        <v/>
      </c>
    </row>
    <row r="2185" spans="1:2" x14ac:dyDescent="0.25">
      <c r="A2185" s="8"/>
      <c r="B2185" s="8" t="str">
        <f t="shared" si="37"/>
        <v/>
      </c>
    </row>
    <row r="2186" spans="1:2" x14ac:dyDescent="0.25">
      <c r="A2186" s="8"/>
      <c r="B2186" s="8" t="str">
        <f t="shared" si="37"/>
        <v/>
      </c>
    </row>
    <row r="2187" spans="1:2" x14ac:dyDescent="0.25">
      <c r="A2187" s="8"/>
      <c r="B2187" s="8" t="str">
        <f t="shared" si="37"/>
        <v/>
      </c>
    </row>
    <row r="2188" spans="1:2" x14ac:dyDescent="0.25">
      <c r="A2188" s="8"/>
      <c r="B2188" s="8" t="str">
        <f t="shared" si="37"/>
        <v/>
      </c>
    </row>
    <row r="2189" spans="1:2" x14ac:dyDescent="0.25">
      <c r="A2189" s="8"/>
      <c r="B2189" s="8" t="str">
        <f t="shared" si="37"/>
        <v/>
      </c>
    </row>
    <row r="2190" spans="1:2" x14ac:dyDescent="0.25">
      <c r="A2190" s="8"/>
      <c r="B2190" s="8" t="str">
        <f t="shared" si="37"/>
        <v/>
      </c>
    </row>
    <row r="2191" spans="1:2" x14ac:dyDescent="0.25">
      <c r="A2191" s="8"/>
      <c r="B2191" s="8" t="str">
        <f t="shared" si="37"/>
        <v/>
      </c>
    </row>
    <row r="2192" spans="1:2" x14ac:dyDescent="0.25">
      <c r="A2192" s="8"/>
      <c r="B2192" s="8" t="str">
        <f t="shared" si="37"/>
        <v/>
      </c>
    </row>
    <row r="2193" spans="1:2" x14ac:dyDescent="0.25">
      <c r="A2193" s="8"/>
      <c r="B2193" s="8" t="str">
        <f t="shared" si="37"/>
        <v/>
      </c>
    </row>
    <row r="2194" spans="1:2" x14ac:dyDescent="0.25">
      <c r="A2194" s="8"/>
      <c r="B2194" s="8" t="str">
        <f t="shared" si="37"/>
        <v/>
      </c>
    </row>
    <row r="2195" spans="1:2" x14ac:dyDescent="0.25">
      <c r="A2195" s="8"/>
      <c r="B2195" s="8" t="str">
        <f t="shared" si="37"/>
        <v/>
      </c>
    </row>
    <row r="2196" spans="1:2" x14ac:dyDescent="0.25">
      <c r="A2196" s="8"/>
      <c r="B2196" s="8" t="str">
        <f t="shared" si="37"/>
        <v/>
      </c>
    </row>
    <row r="2197" spans="1:2" x14ac:dyDescent="0.25">
      <c r="A2197" s="8"/>
      <c r="B2197" s="8" t="str">
        <f t="shared" si="37"/>
        <v/>
      </c>
    </row>
    <row r="2198" spans="1:2" x14ac:dyDescent="0.25">
      <c r="A2198" s="8"/>
      <c r="B2198" s="8" t="str">
        <f t="shared" si="37"/>
        <v/>
      </c>
    </row>
    <row r="2199" spans="1:2" x14ac:dyDescent="0.25">
      <c r="A2199" s="8"/>
      <c r="B2199" s="8" t="str">
        <f t="shared" si="37"/>
        <v/>
      </c>
    </row>
    <row r="2200" spans="1:2" x14ac:dyDescent="0.25">
      <c r="A2200" s="8"/>
      <c r="B2200" s="8" t="str">
        <f t="shared" si="37"/>
        <v/>
      </c>
    </row>
    <row r="2201" spans="1:2" x14ac:dyDescent="0.25">
      <c r="A2201" s="8"/>
      <c r="B2201" s="8" t="str">
        <f t="shared" si="37"/>
        <v/>
      </c>
    </row>
    <row r="2202" spans="1:2" x14ac:dyDescent="0.25">
      <c r="A2202" s="8"/>
      <c r="B2202" s="8" t="str">
        <f t="shared" si="37"/>
        <v/>
      </c>
    </row>
    <row r="2203" spans="1:2" x14ac:dyDescent="0.25">
      <c r="A2203" s="8"/>
      <c r="B2203" s="8" t="str">
        <f t="shared" si="37"/>
        <v/>
      </c>
    </row>
    <row r="2204" spans="1:2" x14ac:dyDescent="0.25">
      <c r="A2204" s="8"/>
      <c r="B2204" s="8" t="str">
        <f t="shared" si="37"/>
        <v/>
      </c>
    </row>
    <row r="2205" spans="1:2" x14ac:dyDescent="0.25">
      <c r="A2205" s="8"/>
      <c r="B2205" s="8" t="str">
        <f t="shared" si="37"/>
        <v/>
      </c>
    </row>
    <row r="2206" spans="1:2" x14ac:dyDescent="0.25">
      <c r="A2206" s="8"/>
      <c r="B2206" s="8" t="str">
        <f t="shared" si="37"/>
        <v/>
      </c>
    </row>
    <row r="2207" spans="1:2" x14ac:dyDescent="0.25">
      <c r="A2207" s="8"/>
      <c r="B2207" s="8" t="str">
        <f t="shared" si="37"/>
        <v/>
      </c>
    </row>
    <row r="2208" spans="1:2" x14ac:dyDescent="0.25">
      <c r="A2208" s="8"/>
      <c r="B2208" s="8" t="str">
        <f t="shared" si="37"/>
        <v/>
      </c>
    </row>
    <row r="2209" spans="1:2" x14ac:dyDescent="0.25">
      <c r="A2209" s="8"/>
      <c r="B2209" s="8" t="str">
        <f t="shared" si="37"/>
        <v/>
      </c>
    </row>
    <row r="2210" spans="1:2" x14ac:dyDescent="0.25">
      <c r="A2210" s="8"/>
      <c r="B2210" s="8" t="str">
        <f t="shared" si="37"/>
        <v/>
      </c>
    </row>
    <row r="2211" spans="1:2" x14ac:dyDescent="0.25">
      <c r="A2211" s="8"/>
      <c r="B2211" s="8" t="str">
        <f t="shared" si="37"/>
        <v/>
      </c>
    </row>
    <row r="2212" spans="1:2" x14ac:dyDescent="0.25">
      <c r="A2212" s="8"/>
      <c r="B2212" s="8" t="str">
        <f t="shared" si="37"/>
        <v/>
      </c>
    </row>
    <row r="2213" spans="1:2" x14ac:dyDescent="0.25">
      <c r="A2213" s="8"/>
      <c r="B2213" s="8" t="str">
        <f t="shared" si="37"/>
        <v/>
      </c>
    </row>
    <row r="2214" spans="1:2" x14ac:dyDescent="0.25">
      <c r="A2214" s="8"/>
      <c r="B2214" s="8" t="str">
        <f t="shared" si="37"/>
        <v/>
      </c>
    </row>
    <row r="2215" spans="1:2" x14ac:dyDescent="0.25">
      <c r="A2215" s="8"/>
      <c r="B2215" s="8" t="str">
        <f t="shared" si="37"/>
        <v/>
      </c>
    </row>
    <row r="2216" spans="1:2" x14ac:dyDescent="0.25">
      <c r="A2216" s="8"/>
      <c r="B2216" s="8" t="str">
        <f t="shared" si="37"/>
        <v/>
      </c>
    </row>
    <row r="2217" spans="1:2" x14ac:dyDescent="0.25">
      <c r="A2217" s="8"/>
      <c r="B2217" s="8" t="str">
        <f t="shared" si="37"/>
        <v/>
      </c>
    </row>
    <row r="2218" spans="1:2" x14ac:dyDescent="0.25">
      <c r="A2218" s="8"/>
      <c r="B2218" s="8" t="str">
        <f t="shared" si="37"/>
        <v/>
      </c>
    </row>
    <row r="2219" spans="1:2" x14ac:dyDescent="0.25">
      <c r="A2219" s="8"/>
      <c r="B2219" s="8" t="str">
        <f t="shared" si="37"/>
        <v/>
      </c>
    </row>
    <row r="2220" spans="1:2" x14ac:dyDescent="0.25">
      <c r="A2220" s="8"/>
      <c r="B2220" s="8" t="str">
        <f t="shared" si="37"/>
        <v/>
      </c>
    </row>
    <row r="2221" spans="1:2" x14ac:dyDescent="0.25">
      <c r="A2221" s="8"/>
      <c r="B2221" s="8" t="str">
        <f t="shared" si="37"/>
        <v/>
      </c>
    </row>
    <row r="2222" spans="1:2" x14ac:dyDescent="0.25">
      <c r="A2222" s="8"/>
      <c r="B2222" s="8" t="str">
        <f t="shared" si="37"/>
        <v/>
      </c>
    </row>
    <row r="2223" spans="1:2" x14ac:dyDescent="0.25">
      <c r="A2223" s="8"/>
      <c r="B2223" s="8" t="str">
        <f t="shared" si="37"/>
        <v/>
      </c>
    </row>
    <row r="2224" spans="1:2" x14ac:dyDescent="0.25">
      <c r="A2224" s="8"/>
      <c r="B2224" s="8" t="str">
        <f t="shared" si="37"/>
        <v/>
      </c>
    </row>
    <row r="2225" spans="1:2" x14ac:dyDescent="0.25">
      <c r="A2225" s="8"/>
      <c r="B2225" s="8" t="str">
        <f t="shared" si="37"/>
        <v/>
      </c>
    </row>
    <row r="2226" spans="1:2" x14ac:dyDescent="0.25">
      <c r="A2226" s="8"/>
      <c r="B2226" s="8" t="str">
        <f t="shared" si="37"/>
        <v/>
      </c>
    </row>
    <row r="2227" spans="1:2" x14ac:dyDescent="0.25">
      <c r="A2227" s="8"/>
      <c r="B2227" s="8" t="str">
        <f t="shared" si="37"/>
        <v/>
      </c>
    </row>
    <row r="2228" spans="1:2" x14ac:dyDescent="0.25">
      <c r="A2228" s="8"/>
      <c r="B2228" s="8" t="str">
        <f t="shared" si="37"/>
        <v/>
      </c>
    </row>
    <row r="2229" spans="1:2" x14ac:dyDescent="0.25">
      <c r="A2229" s="8"/>
      <c r="B2229" s="8" t="str">
        <f t="shared" si="37"/>
        <v/>
      </c>
    </row>
    <row r="2230" spans="1:2" x14ac:dyDescent="0.25">
      <c r="A2230" s="8"/>
      <c r="B2230" s="8" t="str">
        <f t="shared" si="37"/>
        <v/>
      </c>
    </row>
    <row r="2231" spans="1:2" x14ac:dyDescent="0.25">
      <c r="A2231" s="8"/>
      <c r="B2231" s="8" t="str">
        <f t="shared" si="37"/>
        <v/>
      </c>
    </row>
    <row r="2232" spans="1:2" x14ac:dyDescent="0.25">
      <c r="A2232" s="8"/>
      <c r="B2232" s="8" t="str">
        <f t="shared" si="37"/>
        <v/>
      </c>
    </row>
    <row r="2233" spans="1:2" x14ac:dyDescent="0.25">
      <c r="A2233" s="8"/>
      <c r="B2233" s="8" t="str">
        <f t="shared" si="37"/>
        <v/>
      </c>
    </row>
    <row r="2234" spans="1:2" x14ac:dyDescent="0.25">
      <c r="A2234" s="8"/>
      <c r="B2234" s="8" t="str">
        <f t="shared" si="37"/>
        <v/>
      </c>
    </row>
    <row r="2235" spans="1:2" x14ac:dyDescent="0.25">
      <c r="A2235" s="8"/>
      <c r="B2235" s="8" t="str">
        <f t="shared" si="37"/>
        <v/>
      </c>
    </row>
    <row r="2236" spans="1:2" x14ac:dyDescent="0.25">
      <c r="A2236" s="8"/>
      <c r="B2236" s="8" t="str">
        <f t="shared" si="37"/>
        <v/>
      </c>
    </row>
    <row r="2237" spans="1:2" x14ac:dyDescent="0.25">
      <c r="A2237" s="8"/>
      <c r="B2237" s="8" t="str">
        <f t="shared" si="37"/>
        <v/>
      </c>
    </row>
    <row r="2238" spans="1:2" x14ac:dyDescent="0.25">
      <c r="A2238" s="8"/>
      <c r="B2238" s="8" t="str">
        <f t="shared" si="37"/>
        <v/>
      </c>
    </row>
    <row r="2239" spans="1:2" x14ac:dyDescent="0.25">
      <c r="A2239" s="8"/>
      <c r="B2239" s="8" t="str">
        <f t="shared" si="37"/>
        <v/>
      </c>
    </row>
    <row r="2240" spans="1:2" x14ac:dyDescent="0.25">
      <c r="A2240" s="8"/>
      <c r="B2240" s="8" t="str">
        <f t="shared" si="37"/>
        <v/>
      </c>
    </row>
    <row r="2241" spans="1:2" x14ac:dyDescent="0.25">
      <c r="A2241" s="8"/>
      <c r="B2241" s="8" t="str">
        <f t="shared" si="37"/>
        <v/>
      </c>
    </row>
    <row r="2242" spans="1:2" x14ac:dyDescent="0.25">
      <c r="A2242" s="8"/>
      <c r="B2242" s="8" t="str">
        <f t="shared" si="37"/>
        <v/>
      </c>
    </row>
    <row r="2243" spans="1:2" x14ac:dyDescent="0.25">
      <c r="A2243" s="8"/>
      <c r="B2243" s="8" t="str">
        <f t="shared" si="37"/>
        <v/>
      </c>
    </row>
    <row r="2244" spans="1:2" x14ac:dyDescent="0.25">
      <c r="A2244" s="8"/>
      <c r="B2244" s="8" t="str">
        <f t="shared" ref="B2244:B2307" si="38">IF(A2244=0,"",41824+(ROUNDUP(DAYS360(41824,A2244)/7,0)*7))</f>
        <v/>
      </c>
    </row>
    <row r="2245" spans="1:2" x14ac:dyDescent="0.25">
      <c r="A2245" s="8"/>
      <c r="B2245" s="8" t="str">
        <f t="shared" si="38"/>
        <v/>
      </c>
    </row>
    <row r="2246" spans="1:2" x14ac:dyDescent="0.25">
      <c r="A2246" s="8"/>
      <c r="B2246" s="8" t="str">
        <f t="shared" si="38"/>
        <v/>
      </c>
    </row>
    <row r="2247" spans="1:2" x14ac:dyDescent="0.25">
      <c r="A2247" s="8"/>
      <c r="B2247" s="8" t="str">
        <f t="shared" si="38"/>
        <v/>
      </c>
    </row>
    <row r="2248" spans="1:2" x14ac:dyDescent="0.25">
      <c r="A2248" s="8"/>
      <c r="B2248" s="8" t="str">
        <f t="shared" si="38"/>
        <v/>
      </c>
    </row>
    <row r="2249" spans="1:2" x14ac:dyDescent="0.25">
      <c r="A2249" s="8"/>
      <c r="B2249" s="8" t="str">
        <f t="shared" si="38"/>
        <v/>
      </c>
    </row>
    <row r="2250" spans="1:2" x14ac:dyDescent="0.25">
      <c r="A2250" s="8"/>
      <c r="B2250" s="8" t="str">
        <f t="shared" si="38"/>
        <v/>
      </c>
    </row>
    <row r="2251" spans="1:2" x14ac:dyDescent="0.25">
      <c r="A2251" s="8"/>
      <c r="B2251" s="8" t="str">
        <f t="shared" si="38"/>
        <v/>
      </c>
    </row>
    <row r="2252" spans="1:2" x14ac:dyDescent="0.25">
      <c r="A2252" s="8"/>
      <c r="B2252" s="8" t="str">
        <f t="shared" si="38"/>
        <v/>
      </c>
    </row>
    <row r="2253" spans="1:2" x14ac:dyDescent="0.25">
      <c r="A2253" s="8"/>
      <c r="B2253" s="8" t="str">
        <f t="shared" si="38"/>
        <v/>
      </c>
    </row>
    <row r="2254" spans="1:2" x14ac:dyDescent="0.25">
      <c r="A2254" s="8"/>
      <c r="B2254" s="8" t="str">
        <f t="shared" si="38"/>
        <v/>
      </c>
    </row>
    <row r="2255" spans="1:2" x14ac:dyDescent="0.25">
      <c r="A2255" s="8"/>
      <c r="B2255" s="8" t="str">
        <f t="shared" si="38"/>
        <v/>
      </c>
    </row>
    <row r="2256" spans="1:2" x14ac:dyDescent="0.25">
      <c r="A2256" s="8"/>
      <c r="B2256" s="8" t="str">
        <f t="shared" si="38"/>
        <v/>
      </c>
    </row>
    <row r="2257" spans="1:2" x14ac:dyDescent="0.25">
      <c r="A2257" s="8"/>
      <c r="B2257" s="8" t="str">
        <f t="shared" si="38"/>
        <v/>
      </c>
    </row>
    <row r="2258" spans="1:2" x14ac:dyDescent="0.25">
      <c r="A2258" s="8"/>
      <c r="B2258" s="8" t="str">
        <f t="shared" si="38"/>
        <v/>
      </c>
    </row>
    <row r="2259" spans="1:2" x14ac:dyDescent="0.25">
      <c r="A2259" s="8"/>
      <c r="B2259" s="8" t="str">
        <f t="shared" si="38"/>
        <v/>
      </c>
    </row>
    <row r="2260" spans="1:2" x14ac:dyDescent="0.25">
      <c r="A2260" s="8"/>
      <c r="B2260" s="8" t="str">
        <f t="shared" si="38"/>
        <v/>
      </c>
    </row>
    <row r="2261" spans="1:2" x14ac:dyDescent="0.25">
      <c r="A2261" s="8"/>
      <c r="B2261" s="8" t="str">
        <f t="shared" si="38"/>
        <v/>
      </c>
    </row>
    <row r="2262" spans="1:2" x14ac:dyDescent="0.25">
      <c r="A2262" s="8"/>
      <c r="B2262" s="8" t="str">
        <f t="shared" si="38"/>
        <v/>
      </c>
    </row>
    <row r="2263" spans="1:2" x14ac:dyDescent="0.25">
      <c r="A2263" s="8"/>
      <c r="B2263" s="8" t="str">
        <f t="shared" si="38"/>
        <v/>
      </c>
    </row>
    <row r="2264" spans="1:2" x14ac:dyDescent="0.25">
      <c r="A2264" s="8"/>
      <c r="B2264" s="8" t="str">
        <f t="shared" si="38"/>
        <v/>
      </c>
    </row>
    <row r="2265" spans="1:2" x14ac:dyDescent="0.25">
      <c r="A2265" s="8"/>
      <c r="B2265" s="8" t="str">
        <f t="shared" si="38"/>
        <v/>
      </c>
    </row>
    <row r="2266" spans="1:2" x14ac:dyDescent="0.25">
      <c r="A2266" s="8"/>
      <c r="B2266" s="8" t="str">
        <f t="shared" si="38"/>
        <v/>
      </c>
    </row>
    <row r="2267" spans="1:2" x14ac:dyDescent="0.25">
      <c r="A2267" s="8"/>
      <c r="B2267" s="8" t="str">
        <f t="shared" si="38"/>
        <v/>
      </c>
    </row>
    <row r="2268" spans="1:2" x14ac:dyDescent="0.25">
      <c r="A2268" s="8"/>
      <c r="B2268" s="8" t="str">
        <f t="shared" si="38"/>
        <v/>
      </c>
    </row>
    <row r="2269" spans="1:2" x14ac:dyDescent="0.25">
      <c r="A2269" s="8"/>
      <c r="B2269" s="8" t="str">
        <f t="shared" si="38"/>
        <v/>
      </c>
    </row>
    <row r="2270" spans="1:2" x14ac:dyDescent="0.25">
      <c r="A2270" s="8"/>
      <c r="B2270" s="8" t="str">
        <f t="shared" si="38"/>
        <v/>
      </c>
    </row>
    <row r="2271" spans="1:2" x14ac:dyDescent="0.25">
      <c r="A2271" s="8"/>
      <c r="B2271" s="8" t="str">
        <f t="shared" si="38"/>
        <v/>
      </c>
    </row>
    <row r="2272" spans="1:2" x14ac:dyDescent="0.25">
      <c r="A2272" s="8"/>
      <c r="B2272" s="8" t="str">
        <f t="shared" si="38"/>
        <v/>
      </c>
    </row>
    <row r="2273" spans="1:2" x14ac:dyDescent="0.25">
      <c r="A2273" s="8"/>
      <c r="B2273" s="8" t="str">
        <f t="shared" si="38"/>
        <v/>
      </c>
    </row>
    <row r="2274" spans="1:2" x14ac:dyDescent="0.25">
      <c r="A2274" s="8"/>
      <c r="B2274" s="8" t="str">
        <f t="shared" si="38"/>
        <v/>
      </c>
    </row>
    <row r="2275" spans="1:2" x14ac:dyDescent="0.25">
      <c r="A2275" s="8"/>
      <c r="B2275" s="8" t="str">
        <f t="shared" si="38"/>
        <v/>
      </c>
    </row>
    <row r="2276" spans="1:2" x14ac:dyDescent="0.25">
      <c r="A2276" s="8"/>
      <c r="B2276" s="8" t="str">
        <f t="shared" si="38"/>
        <v/>
      </c>
    </row>
    <row r="2277" spans="1:2" x14ac:dyDescent="0.25">
      <c r="A2277" s="8"/>
      <c r="B2277" s="8" t="str">
        <f t="shared" si="38"/>
        <v/>
      </c>
    </row>
    <row r="2278" spans="1:2" x14ac:dyDescent="0.25">
      <c r="A2278" s="8"/>
      <c r="B2278" s="8" t="str">
        <f t="shared" si="38"/>
        <v/>
      </c>
    </row>
    <row r="2279" spans="1:2" x14ac:dyDescent="0.25">
      <c r="A2279" s="8"/>
      <c r="B2279" s="8" t="str">
        <f t="shared" si="38"/>
        <v/>
      </c>
    </row>
    <row r="2280" spans="1:2" x14ac:dyDescent="0.25">
      <c r="A2280" s="8"/>
      <c r="B2280" s="8" t="str">
        <f t="shared" si="38"/>
        <v/>
      </c>
    </row>
    <row r="2281" spans="1:2" x14ac:dyDescent="0.25">
      <c r="A2281" s="8"/>
      <c r="B2281" s="8" t="str">
        <f t="shared" si="38"/>
        <v/>
      </c>
    </row>
    <row r="2282" spans="1:2" x14ac:dyDescent="0.25">
      <c r="A2282" s="8"/>
      <c r="B2282" s="8" t="str">
        <f t="shared" si="38"/>
        <v/>
      </c>
    </row>
    <row r="2283" spans="1:2" x14ac:dyDescent="0.25">
      <c r="A2283" s="8"/>
      <c r="B2283" s="8" t="str">
        <f t="shared" si="38"/>
        <v/>
      </c>
    </row>
    <row r="2284" spans="1:2" x14ac:dyDescent="0.25">
      <c r="A2284" s="8"/>
      <c r="B2284" s="8" t="str">
        <f t="shared" si="38"/>
        <v/>
      </c>
    </row>
    <row r="2285" spans="1:2" x14ac:dyDescent="0.25">
      <c r="A2285" s="8"/>
      <c r="B2285" s="8" t="str">
        <f t="shared" si="38"/>
        <v/>
      </c>
    </row>
    <row r="2286" spans="1:2" x14ac:dyDescent="0.25">
      <c r="A2286" s="8"/>
      <c r="B2286" s="8" t="str">
        <f t="shared" si="38"/>
        <v/>
      </c>
    </row>
    <row r="2287" spans="1:2" x14ac:dyDescent="0.25">
      <c r="A2287" s="8"/>
      <c r="B2287" s="8" t="str">
        <f t="shared" si="38"/>
        <v/>
      </c>
    </row>
    <row r="2288" spans="1:2" x14ac:dyDescent="0.25">
      <c r="A2288" s="8"/>
      <c r="B2288" s="8" t="str">
        <f t="shared" si="38"/>
        <v/>
      </c>
    </row>
    <row r="2289" spans="1:2" x14ac:dyDescent="0.25">
      <c r="A2289" s="8"/>
      <c r="B2289" s="8" t="str">
        <f t="shared" si="38"/>
        <v/>
      </c>
    </row>
    <row r="2290" spans="1:2" x14ac:dyDescent="0.25">
      <c r="A2290" s="8"/>
      <c r="B2290" s="8" t="str">
        <f t="shared" si="38"/>
        <v/>
      </c>
    </row>
    <row r="2291" spans="1:2" x14ac:dyDescent="0.25">
      <c r="A2291" s="8"/>
      <c r="B2291" s="8" t="str">
        <f t="shared" si="38"/>
        <v/>
      </c>
    </row>
    <row r="2292" spans="1:2" x14ac:dyDescent="0.25">
      <c r="A2292" s="8"/>
      <c r="B2292" s="8" t="str">
        <f t="shared" si="38"/>
        <v/>
      </c>
    </row>
    <row r="2293" spans="1:2" x14ac:dyDescent="0.25">
      <c r="A2293" s="8"/>
      <c r="B2293" s="8" t="str">
        <f t="shared" si="38"/>
        <v/>
      </c>
    </row>
    <row r="2294" spans="1:2" x14ac:dyDescent="0.25">
      <c r="A2294" s="8"/>
      <c r="B2294" s="8" t="str">
        <f t="shared" si="38"/>
        <v/>
      </c>
    </row>
    <row r="2295" spans="1:2" x14ac:dyDescent="0.25">
      <c r="A2295" s="8"/>
      <c r="B2295" s="8" t="str">
        <f t="shared" si="38"/>
        <v/>
      </c>
    </row>
    <row r="2296" spans="1:2" x14ac:dyDescent="0.25">
      <c r="A2296" s="8"/>
      <c r="B2296" s="8" t="str">
        <f t="shared" si="38"/>
        <v/>
      </c>
    </row>
    <row r="2297" spans="1:2" x14ac:dyDescent="0.25">
      <c r="A2297" s="8"/>
      <c r="B2297" s="8" t="str">
        <f t="shared" si="38"/>
        <v/>
      </c>
    </row>
    <row r="2298" spans="1:2" x14ac:dyDescent="0.25">
      <c r="A2298" s="8"/>
      <c r="B2298" s="8" t="str">
        <f t="shared" si="38"/>
        <v/>
      </c>
    </row>
    <row r="2299" spans="1:2" x14ac:dyDescent="0.25">
      <c r="A2299" s="8"/>
      <c r="B2299" s="8" t="str">
        <f t="shared" si="38"/>
        <v/>
      </c>
    </row>
    <row r="2300" spans="1:2" x14ac:dyDescent="0.25">
      <c r="A2300" s="8"/>
      <c r="B2300" s="8" t="str">
        <f t="shared" si="38"/>
        <v/>
      </c>
    </row>
    <row r="2301" spans="1:2" x14ac:dyDescent="0.25">
      <c r="A2301" s="8"/>
      <c r="B2301" s="8" t="str">
        <f t="shared" si="38"/>
        <v/>
      </c>
    </row>
    <row r="2302" spans="1:2" x14ac:dyDescent="0.25">
      <c r="A2302" s="8"/>
      <c r="B2302" s="8" t="str">
        <f t="shared" si="38"/>
        <v/>
      </c>
    </row>
    <row r="2303" spans="1:2" x14ac:dyDescent="0.25">
      <c r="A2303" s="8"/>
      <c r="B2303" s="8" t="str">
        <f t="shared" si="38"/>
        <v/>
      </c>
    </row>
    <row r="2304" spans="1:2" x14ac:dyDescent="0.25">
      <c r="A2304" s="8"/>
      <c r="B2304" s="8" t="str">
        <f t="shared" si="38"/>
        <v/>
      </c>
    </row>
    <row r="2305" spans="1:2" x14ac:dyDescent="0.25">
      <c r="A2305" s="8"/>
      <c r="B2305" s="8" t="str">
        <f t="shared" si="38"/>
        <v/>
      </c>
    </row>
    <row r="2306" spans="1:2" x14ac:dyDescent="0.25">
      <c r="A2306" s="8"/>
      <c r="B2306" s="8" t="str">
        <f t="shared" si="38"/>
        <v/>
      </c>
    </row>
    <row r="2307" spans="1:2" x14ac:dyDescent="0.25">
      <c r="A2307" s="8"/>
      <c r="B2307" s="8" t="str">
        <f t="shared" si="38"/>
        <v/>
      </c>
    </row>
    <row r="2308" spans="1:2" x14ac:dyDescent="0.25">
      <c r="A2308" s="8"/>
      <c r="B2308" s="8" t="str">
        <f t="shared" ref="B2308:B2371" si="39">IF(A2308=0,"",41824+(ROUNDUP(DAYS360(41824,A2308)/7,0)*7))</f>
        <v/>
      </c>
    </row>
    <row r="2309" spans="1:2" x14ac:dyDescent="0.25">
      <c r="A2309" s="8"/>
      <c r="B2309" s="8" t="str">
        <f t="shared" si="39"/>
        <v/>
      </c>
    </row>
    <row r="2310" spans="1:2" x14ac:dyDescent="0.25">
      <c r="A2310" s="8"/>
      <c r="B2310" s="8" t="str">
        <f t="shared" si="39"/>
        <v/>
      </c>
    </row>
    <row r="2311" spans="1:2" x14ac:dyDescent="0.25">
      <c r="A2311" s="8"/>
      <c r="B2311" s="8" t="str">
        <f t="shared" si="39"/>
        <v/>
      </c>
    </row>
    <row r="2312" spans="1:2" x14ac:dyDescent="0.25">
      <c r="A2312" s="8"/>
      <c r="B2312" s="8" t="str">
        <f t="shared" si="39"/>
        <v/>
      </c>
    </row>
    <row r="2313" spans="1:2" x14ac:dyDescent="0.25">
      <c r="A2313" s="8"/>
      <c r="B2313" s="8" t="str">
        <f t="shared" si="39"/>
        <v/>
      </c>
    </row>
    <row r="2314" spans="1:2" x14ac:dyDescent="0.25">
      <c r="A2314" s="8"/>
      <c r="B2314" s="8" t="str">
        <f t="shared" si="39"/>
        <v/>
      </c>
    </row>
    <row r="2315" spans="1:2" x14ac:dyDescent="0.25">
      <c r="A2315" s="8"/>
      <c r="B2315" s="8" t="str">
        <f t="shared" si="39"/>
        <v/>
      </c>
    </row>
    <row r="2316" spans="1:2" x14ac:dyDescent="0.25">
      <c r="A2316" s="8"/>
      <c r="B2316" s="8" t="str">
        <f t="shared" si="39"/>
        <v/>
      </c>
    </row>
    <row r="2317" spans="1:2" x14ac:dyDescent="0.25">
      <c r="A2317" s="8"/>
      <c r="B2317" s="8" t="str">
        <f t="shared" si="39"/>
        <v/>
      </c>
    </row>
    <row r="2318" spans="1:2" x14ac:dyDescent="0.25">
      <c r="A2318" s="8"/>
      <c r="B2318" s="8" t="str">
        <f t="shared" si="39"/>
        <v/>
      </c>
    </row>
    <row r="2319" spans="1:2" x14ac:dyDescent="0.25">
      <c r="A2319" s="8"/>
      <c r="B2319" s="8" t="str">
        <f t="shared" si="39"/>
        <v/>
      </c>
    </row>
    <row r="2320" spans="1:2" x14ac:dyDescent="0.25">
      <c r="A2320" s="8"/>
      <c r="B2320" s="8" t="str">
        <f t="shared" si="39"/>
        <v/>
      </c>
    </row>
    <row r="2321" spans="1:2" x14ac:dyDescent="0.25">
      <c r="A2321" s="8"/>
      <c r="B2321" s="8" t="str">
        <f t="shared" si="39"/>
        <v/>
      </c>
    </row>
    <row r="2322" spans="1:2" x14ac:dyDescent="0.25">
      <c r="A2322" s="8"/>
      <c r="B2322" s="8" t="str">
        <f t="shared" si="39"/>
        <v/>
      </c>
    </row>
    <row r="2323" spans="1:2" x14ac:dyDescent="0.25">
      <c r="A2323" s="8"/>
      <c r="B2323" s="8" t="str">
        <f t="shared" si="39"/>
        <v/>
      </c>
    </row>
    <row r="2324" spans="1:2" x14ac:dyDescent="0.25">
      <c r="A2324" s="8"/>
      <c r="B2324" s="8" t="str">
        <f t="shared" si="39"/>
        <v/>
      </c>
    </row>
    <row r="2325" spans="1:2" x14ac:dyDescent="0.25">
      <c r="A2325" s="8"/>
      <c r="B2325" s="8" t="str">
        <f t="shared" si="39"/>
        <v/>
      </c>
    </row>
    <row r="2326" spans="1:2" x14ac:dyDescent="0.25">
      <c r="A2326" s="8"/>
      <c r="B2326" s="8" t="str">
        <f t="shared" si="39"/>
        <v/>
      </c>
    </row>
    <row r="2327" spans="1:2" x14ac:dyDescent="0.25">
      <c r="A2327" s="8"/>
      <c r="B2327" s="8" t="str">
        <f t="shared" si="39"/>
        <v/>
      </c>
    </row>
    <row r="2328" spans="1:2" x14ac:dyDescent="0.25">
      <c r="A2328" s="8"/>
      <c r="B2328" s="8" t="str">
        <f t="shared" si="39"/>
        <v/>
      </c>
    </row>
    <row r="2329" spans="1:2" x14ac:dyDescent="0.25">
      <c r="A2329" s="8"/>
      <c r="B2329" s="8" t="str">
        <f t="shared" si="39"/>
        <v/>
      </c>
    </row>
    <row r="2330" spans="1:2" x14ac:dyDescent="0.25">
      <c r="A2330" s="8"/>
      <c r="B2330" s="8" t="str">
        <f t="shared" si="39"/>
        <v/>
      </c>
    </row>
    <row r="2331" spans="1:2" x14ac:dyDescent="0.25">
      <c r="A2331" s="8"/>
      <c r="B2331" s="8" t="str">
        <f t="shared" si="39"/>
        <v/>
      </c>
    </row>
    <row r="2332" spans="1:2" x14ac:dyDescent="0.25">
      <c r="A2332" s="8"/>
      <c r="B2332" s="8" t="str">
        <f t="shared" si="39"/>
        <v/>
      </c>
    </row>
    <row r="2333" spans="1:2" x14ac:dyDescent="0.25">
      <c r="A2333" s="8"/>
      <c r="B2333" s="8" t="str">
        <f t="shared" si="39"/>
        <v/>
      </c>
    </row>
    <row r="2334" spans="1:2" x14ac:dyDescent="0.25">
      <c r="A2334" s="8"/>
      <c r="B2334" s="8" t="str">
        <f t="shared" si="39"/>
        <v/>
      </c>
    </row>
    <row r="2335" spans="1:2" x14ac:dyDescent="0.25">
      <c r="A2335" s="8"/>
      <c r="B2335" s="8" t="str">
        <f t="shared" si="39"/>
        <v/>
      </c>
    </row>
    <row r="2336" spans="1:2" x14ac:dyDescent="0.25">
      <c r="A2336" s="8"/>
      <c r="B2336" s="8" t="str">
        <f t="shared" si="39"/>
        <v/>
      </c>
    </row>
    <row r="2337" spans="1:2" x14ac:dyDescent="0.25">
      <c r="A2337" s="8"/>
      <c r="B2337" s="8" t="str">
        <f t="shared" si="39"/>
        <v/>
      </c>
    </row>
    <row r="2338" spans="1:2" x14ac:dyDescent="0.25">
      <c r="A2338" s="8"/>
      <c r="B2338" s="8" t="str">
        <f t="shared" si="39"/>
        <v/>
      </c>
    </row>
    <row r="2339" spans="1:2" x14ac:dyDescent="0.25">
      <c r="A2339" s="8"/>
      <c r="B2339" s="8" t="str">
        <f t="shared" si="39"/>
        <v/>
      </c>
    </row>
    <row r="2340" spans="1:2" x14ac:dyDescent="0.25">
      <c r="A2340" s="8"/>
      <c r="B2340" s="8" t="str">
        <f t="shared" si="39"/>
        <v/>
      </c>
    </row>
    <row r="2341" spans="1:2" x14ac:dyDescent="0.25">
      <c r="A2341" s="8"/>
      <c r="B2341" s="8" t="str">
        <f t="shared" si="39"/>
        <v/>
      </c>
    </row>
    <row r="2342" spans="1:2" x14ac:dyDescent="0.25">
      <c r="A2342" s="8"/>
      <c r="B2342" s="8" t="str">
        <f t="shared" si="39"/>
        <v/>
      </c>
    </row>
    <row r="2343" spans="1:2" x14ac:dyDescent="0.25">
      <c r="A2343" s="8"/>
      <c r="B2343" s="8" t="str">
        <f t="shared" si="39"/>
        <v/>
      </c>
    </row>
    <row r="2344" spans="1:2" x14ac:dyDescent="0.25">
      <c r="A2344" s="8"/>
      <c r="B2344" s="8" t="str">
        <f t="shared" si="39"/>
        <v/>
      </c>
    </row>
    <row r="2345" spans="1:2" x14ac:dyDescent="0.25">
      <c r="A2345" s="8"/>
      <c r="B2345" s="8" t="str">
        <f t="shared" si="39"/>
        <v/>
      </c>
    </row>
    <row r="2346" spans="1:2" x14ac:dyDescent="0.25">
      <c r="A2346" s="8"/>
      <c r="B2346" s="8" t="str">
        <f t="shared" si="39"/>
        <v/>
      </c>
    </row>
    <row r="2347" spans="1:2" x14ac:dyDescent="0.25">
      <c r="A2347" s="8"/>
      <c r="B2347" s="8" t="str">
        <f t="shared" si="39"/>
        <v/>
      </c>
    </row>
    <row r="2348" spans="1:2" x14ac:dyDescent="0.25">
      <c r="A2348" s="8"/>
      <c r="B2348" s="8" t="str">
        <f t="shared" si="39"/>
        <v/>
      </c>
    </row>
    <row r="2349" spans="1:2" x14ac:dyDescent="0.25">
      <c r="A2349" s="8"/>
      <c r="B2349" s="8" t="str">
        <f t="shared" si="39"/>
        <v/>
      </c>
    </row>
    <row r="2350" spans="1:2" x14ac:dyDescent="0.25">
      <c r="A2350" s="8"/>
      <c r="B2350" s="8" t="str">
        <f t="shared" si="39"/>
        <v/>
      </c>
    </row>
    <row r="2351" spans="1:2" x14ac:dyDescent="0.25">
      <c r="A2351" s="8"/>
      <c r="B2351" s="8" t="str">
        <f t="shared" si="39"/>
        <v/>
      </c>
    </row>
    <row r="2352" spans="1:2" x14ac:dyDescent="0.25">
      <c r="A2352" s="8"/>
      <c r="B2352" s="8" t="str">
        <f t="shared" si="39"/>
        <v/>
      </c>
    </row>
    <row r="2353" spans="1:2" x14ac:dyDescent="0.25">
      <c r="A2353" s="8"/>
      <c r="B2353" s="8" t="str">
        <f t="shared" si="39"/>
        <v/>
      </c>
    </row>
    <row r="2354" spans="1:2" x14ac:dyDescent="0.25">
      <c r="A2354" s="8"/>
      <c r="B2354" s="8" t="str">
        <f t="shared" si="39"/>
        <v/>
      </c>
    </row>
    <row r="2355" spans="1:2" x14ac:dyDescent="0.25">
      <c r="A2355" s="8"/>
      <c r="B2355" s="8" t="str">
        <f t="shared" si="39"/>
        <v/>
      </c>
    </row>
    <row r="2356" spans="1:2" x14ac:dyDescent="0.25">
      <c r="A2356" s="8"/>
      <c r="B2356" s="8" t="str">
        <f t="shared" si="39"/>
        <v/>
      </c>
    </row>
    <row r="2357" spans="1:2" x14ac:dyDescent="0.25">
      <c r="A2357" s="8"/>
      <c r="B2357" s="8" t="str">
        <f t="shared" si="39"/>
        <v/>
      </c>
    </row>
    <row r="2358" spans="1:2" x14ac:dyDescent="0.25">
      <c r="A2358" s="8"/>
      <c r="B2358" s="8" t="str">
        <f t="shared" si="39"/>
        <v/>
      </c>
    </row>
    <row r="2359" spans="1:2" x14ac:dyDescent="0.25">
      <c r="A2359" s="8"/>
      <c r="B2359" s="8" t="str">
        <f t="shared" si="39"/>
        <v/>
      </c>
    </row>
    <row r="2360" spans="1:2" x14ac:dyDescent="0.25">
      <c r="A2360" s="8"/>
      <c r="B2360" s="8" t="str">
        <f t="shared" si="39"/>
        <v/>
      </c>
    </row>
    <row r="2361" spans="1:2" x14ac:dyDescent="0.25">
      <c r="A2361" s="8"/>
      <c r="B2361" s="8" t="str">
        <f t="shared" si="39"/>
        <v/>
      </c>
    </row>
    <row r="2362" spans="1:2" x14ac:dyDescent="0.25">
      <c r="A2362" s="8"/>
      <c r="B2362" s="8" t="str">
        <f t="shared" si="39"/>
        <v/>
      </c>
    </row>
    <row r="2363" spans="1:2" x14ac:dyDescent="0.25">
      <c r="A2363" s="8"/>
      <c r="B2363" s="8" t="str">
        <f t="shared" si="39"/>
        <v/>
      </c>
    </row>
    <row r="2364" spans="1:2" x14ac:dyDescent="0.25">
      <c r="A2364" s="8"/>
      <c r="B2364" s="8" t="str">
        <f t="shared" si="39"/>
        <v/>
      </c>
    </row>
    <row r="2365" spans="1:2" x14ac:dyDescent="0.25">
      <c r="A2365" s="8"/>
      <c r="B2365" s="8" t="str">
        <f t="shared" si="39"/>
        <v/>
      </c>
    </row>
    <row r="2366" spans="1:2" x14ac:dyDescent="0.25">
      <c r="A2366" s="8"/>
      <c r="B2366" s="8" t="str">
        <f t="shared" si="39"/>
        <v/>
      </c>
    </row>
    <row r="2367" spans="1:2" x14ac:dyDescent="0.25">
      <c r="A2367" s="8"/>
      <c r="B2367" s="8" t="str">
        <f t="shared" si="39"/>
        <v/>
      </c>
    </row>
    <row r="2368" spans="1:2" x14ac:dyDescent="0.25">
      <c r="A2368" s="8"/>
      <c r="B2368" s="8" t="str">
        <f t="shared" si="39"/>
        <v/>
      </c>
    </row>
    <row r="2369" spans="1:2" x14ac:dyDescent="0.25">
      <c r="A2369" s="8"/>
      <c r="B2369" s="8" t="str">
        <f t="shared" si="39"/>
        <v/>
      </c>
    </row>
    <row r="2370" spans="1:2" x14ac:dyDescent="0.25">
      <c r="A2370" s="8"/>
      <c r="B2370" s="8" t="str">
        <f t="shared" si="39"/>
        <v/>
      </c>
    </row>
    <row r="2371" spans="1:2" x14ac:dyDescent="0.25">
      <c r="A2371" s="8"/>
      <c r="B2371" s="8" t="str">
        <f t="shared" si="39"/>
        <v/>
      </c>
    </row>
    <row r="2372" spans="1:2" x14ac:dyDescent="0.25">
      <c r="A2372" s="8"/>
      <c r="B2372" s="8" t="str">
        <f t="shared" ref="B2372:B2435" si="40">IF(A2372=0,"",41824+(ROUNDUP(DAYS360(41824,A2372)/7,0)*7))</f>
        <v/>
      </c>
    </row>
    <row r="2373" spans="1:2" x14ac:dyDescent="0.25">
      <c r="A2373" s="8"/>
      <c r="B2373" s="8" t="str">
        <f t="shared" si="40"/>
        <v/>
      </c>
    </row>
    <row r="2374" spans="1:2" x14ac:dyDescent="0.25">
      <c r="A2374" s="8"/>
      <c r="B2374" s="8" t="str">
        <f t="shared" si="40"/>
        <v/>
      </c>
    </row>
    <row r="2375" spans="1:2" x14ac:dyDescent="0.25">
      <c r="A2375" s="8"/>
      <c r="B2375" s="8" t="str">
        <f t="shared" si="40"/>
        <v/>
      </c>
    </row>
    <row r="2376" spans="1:2" x14ac:dyDescent="0.25">
      <c r="A2376" s="8"/>
      <c r="B2376" s="8" t="str">
        <f t="shared" si="40"/>
        <v/>
      </c>
    </row>
    <row r="2377" spans="1:2" x14ac:dyDescent="0.25">
      <c r="A2377" s="8"/>
      <c r="B2377" s="8" t="str">
        <f t="shared" si="40"/>
        <v/>
      </c>
    </row>
    <row r="2378" spans="1:2" x14ac:dyDescent="0.25">
      <c r="A2378" s="8"/>
      <c r="B2378" s="8" t="str">
        <f t="shared" si="40"/>
        <v/>
      </c>
    </row>
    <row r="2379" spans="1:2" x14ac:dyDescent="0.25">
      <c r="A2379" s="8"/>
      <c r="B2379" s="8" t="str">
        <f t="shared" si="40"/>
        <v/>
      </c>
    </row>
    <row r="2380" spans="1:2" x14ac:dyDescent="0.25">
      <c r="A2380" s="8"/>
      <c r="B2380" s="8" t="str">
        <f t="shared" si="40"/>
        <v/>
      </c>
    </row>
    <row r="2381" spans="1:2" x14ac:dyDescent="0.25">
      <c r="A2381" s="8"/>
      <c r="B2381" s="8" t="str">
        <f t="shared" si="40"/>
        <v/>
      </c>
    </row>
    <row r="2382" spans="1:2" x14ac:dyDescent="0.25">
      <c r="A2382" s="8"/>
      <c r="B2382" s="8" t="str">
        <f t="shared" si="40"/>
        <v/>
      </c>
    </row>
    <row r="2383" spans="1:2" x14ac:dyDescent="0.25">
      <c r="A2383" s="8"/>
      <c r="B2383" s="8" t="str">
        <f t="shared" si="40"/>
        <v/>
      </c>
    </row>
    <row r="2384" spans="1:2" x14ac:dyDescent="0.25">
      <c r="A2384" s="8"/>
      <c r="B2384" s="8" t="str">
        <f t="shared" si="40"/>
        <v/>
      </c>
    </row>
    <row r="2385" spans="1:2" x14ac:dyDescent="0.25">
      <c r="A2385" s="8"/>
      <c r="B2385" s="8" t="str">
        <f t="shared" si="40"/>
        <v/>
      </c>
    </row>
    <row r="2386" spans="1:2" x14ac:dyDescent="0.25">
      <c r="A2386" s="8"/>
      <c r="B2386" s="8" t="str">
        <f t="shared" si="40"/>
        <v/>
      </c>
    </row>
    <row r="2387" spans="1:2" x14ac:dyDescent="0.25">
      <c r="A2387" s="8"/>
      <c r="B2387" s="8" t="str">
        <f t="shared" si="40"/>
        <v/>
      </c>
    </row>
    <row r="2388" spans="1:2" x14ac:dyDescent="0.25">
      <c r="A2388" s="8"/>
      <c r="B2388" s="8" t="str">
        <f t="shared" si="40"/>
        <v/>
      </c>
    </row>
    <row r="2389" spans="1:2" x14ac:dyDescent="0.25">
      <c r="A2389" s="8"/>
      <c r="B2389" s="8" t="str">
        <f t="shared" si="40"/>
        <v/>
      </c>
    </row>
    <row r="2390" spans="1:2" x14ac:dyDescent="0.25">
      <c r="A2390" s="8"/>
      <c r="B2390" s="8" t="str">
        <f t="shared" si="40"/>
        <v/>
      </c>
    </row>
    <row r="2391" spans="1:2" x14ac:dyDescent="0.25">
      <c r="A2391" s="8"/>
      <c r="B2391" s="8" t="str">
        <f t="shared" si="40"/>
        <v/>
      </c>
    </row>
    <row r="2392" spans="1:2" x14ac:dyDescent="0.25">
      <c r="A2392" s="8"/>
      <c r="B2392" s="8" t="str">
        <f t="shared" si="40"/>
        <v/>
      </c>
    </row>
    <row r="2393" spans="1:2" x14ac:dyDescent="0.25">
      <c r="A2393" s="8"/>
      <c r="B2393" s="8" t="str">
        <f t="shared" si="40"/>
        <v/>
      </c>
    </row>
    <row r="2394" spans="1:2" x14ac:dyDescent="0.25">
      <c r="A2394" s="8"/>
      <c r="B2394" s="8" t="str">
        <f t="shared" si="40"/>
        <v/>
      </c>
    </row>
    <row r="2395" spans="1:2" x14ac:dyDescent="0.25">
      <c r="A2395" s="8"/>
      <c r="B2395" s="8" t="str">
        <f t="shared" si="40"/>
        <v/>
      </c>
    </row>
    <row r="2396" spans="1:2" x14ac:dyDescent="0.25">
      <c r="A2396" s="8"/>
      <c r="B2396" s="8" t="str">
        <f t="shared" si="40"/>
        <v/>
      </c>
    </row>
    <row r="2397" spans="1:2" x14ac:dyDescent="0.25">
      <c r="A2397" s="8"/>
      <c r="B2397" s="8" t="str">
        <f t="shared" si="40"/>
        <v/>
      </c>
    </row>
    <row r="2398" spans="1:2" x14ac:dyDescent="0.25">
      <c r="A2398" s="8"/>
      <c r="B2398" s="8" t="str">
        <f t="shared" si="40"/>
        <v/>
      </c>
    </row>
    <row r="2399" spans="1:2" x14ac:dyDescent="0.25">
      <c r="A2399" s="8"/>
      <c r="B2399" s="8" t="str">
        <f t="shared" si="40"/>
        <v/>
      </c>
    </row>
    <row r="2400" spans="1:2" x14ac:dyDescent="0.25">
      <c r="A2400" s="8"/>
      <c r="B2400" s="8" t="str">
        <f t="shared" si="40"/>
        <v/>
      </c>
    </row>
    <row r="2401" spans="1:2" x14ac:dyDescent="0.25">
      <c r="A2401" s="8"/>
      <c r="B2401" s="8" t="str">
        <f t="shared" si="40"/>
        <v/>
      </c>
    </row>
    <row r="2402" spans="1:2" x14ac:dyDescent="0.25">
      <c r="A2402" s="8"/>
      <c r="B2402" s="8" t="str">
        <f t="shared" si="40"/>
        <v/>
      </c>
    </row>
    <row r="2403" spans="1:2" x14ac:dyDescent="0.25">
      <c r="A2403" s="8"/>
      <c r="B2403" s="8" t="str">
        <f t="shared" si="40"/>
        <v/>
      </c>
    </row>
    <row r="2404" spans="1:2" x14ac:dyDescent="0.25">
      <c r="A2404" s="8"/>
      <c r="B2404" s="8" t="str">
        <f t="shared" si="40"/>
        <v/>
      </c>
    </row>
    <row r="2405" spans="1:2" x14ac:dyDescent="0.25">
      <c r="A2405" s="8"/>
      <c r="B2405" s="8" t="str">
        <f t="shared" si="40"/>
        <v/>
      </c>
    </row>
    <row r="2406" spans="1:2" x14ac:dyDescent="0.25">
      <c r="A2406" s="8"/>
      <c r="B2406" s="8" t="str">
        <f t="shared" si="40"/>
        <v/>
      </c>
    </row>
    <row r="2407" spans="1:2" x14ac:dyDescent="0.25">
      <c r="A2407" s="8"/>
      <c r="B2407" s="8" t="str">
        <f t="shared" si="40"/>
        <v/>
      </c>
    </row>
    <row r="2408" spans="1:2" x14ac:dyDescent="0.25">
      <c r="A2408" s="8"/>
      <c r="B2408" s="8" t="str">
        <f t="shared" si="40"/>
        <v/>
      </c>
    </row>
    <row r="2409" spans="1:2" x14ac:dyDescent="0.25">
      <c r="A2409" s="8"/>
      <c r="B2409" s="8" t="str">
        <f t="shared" si="40"/>
        <v/>
      </c>
    </row>
    <row r="2410" spans="1:2" x14ac:dyDescent="0.25">
      <c r="A2410" s="8"/>
      <c r="B2410" s="8" t="str">
        <f t="shared" si="40"/>
        <v/>
      </c>
    </row>
    <row r="2411" spans="1:2" x14ac:dyDescent="0.25">
      <c r="A2411" s="8"/>
      <c r="B2411" s="8" t="str">
        <f t="shared" si="40"/>
        <v/>
      </c>
    </row>
    <row r="2412" spans="1:2" x14ac:dyDescent="0.25">
      <c r="A2412" s="8"/>
      <c r="B2412" s="8" t="str">
        <f t="shared" si="40"/>
        <v/>
      </c>
    </row>
    <row r="2413" spans="1:2" x14ac:dyDescent="0.25">
      <c r="A2413" s="8"/>
      <c r="B2413" s="8" t="str">
        <f t="shared" si="40"/>
        <v/>
      </c>
    </row>
    <row r="2414" spans="1:2" x14ac:dyDescent="0.25">
      <c r="A2414" s="8"/>
      <c r="B2414" s="8" t="str">
        <f t="shared" si="40"/>
        <v/>
      </c>
    </row>
    <row r="2415" spans="1:2" x14ac:dyDescent="0.25">
      <c r="A2415" s="8"/>
      <c r="B2415" s="8" t="str">
        <f t="shared" si="40"/>
        <v/>
      </c>
    </row>
    <row r="2416" spans="1:2" x14ac:dyDescent="0.25">
      <c r="A2416" s="8"/>
      <c r="B2416" s="8" t="str">
        <f t="shared" si="40"/>
        <v/>
      </c>
    </row>
    <row r="2417" spans="1:2" x14ac:dyDescent="0.25">
      <c r="A2417" s="8"/>
      <c r="B2417" s="8" t="str">
        <f t="shared" si="40"/>
        <v/>
      </c>
    </row>
    <row r="2418" spans="1:2" x14ac:dyDescent="0.25">
      <c r="A2418" s="8"/>
      <c r="B2418" s="8" t="str">
        <f t="shared" si="40"/>
        <v/>
      </c>
    </row>
    <row r="2419" spans="1:2" x14ac:dyDescent="0.25">
      <c r="A2419" s="8"/>
      <c r="B2419" s="8" t="str">
        <f t="shared" si="40"/>
        <v/>
      </c>
    </row>
    <row r="2420" spans="1:2" x14ac:dyDescent="0.25">
      <c r="A2420" s="8"/>
      <c r="B2420" s="8" t="str">
        <f t="shared" si="40"/>
        <v/>
      </c>
    </row>
    <row r="2421" spans="1:2" x14ac:dyDescent="0.25">
      <c r="A2421" s="8"/>
      <c r="B2421" s="8" t="str">
        <f t="shared" si="40"/>
        <v/>
      </c>
    </row>
    <row r="2422" spans="1:2" x14ac:dyDescent="0.25">
      <c r="A2422" s="8"/>
      <c r="B2422" s="8" t="str">
        <f t="shared" si="40"/>
        <v/>
      </c>
    </row>
    <row r="2423" spans="1:2" x14ac:dyDescent="0.25">
      <c r="A2423" s="8"/>
      <c r="B2423" s="8" t="str">
        <f t="shared" si="40"/>
        <v/>
      </c>
    </row>
    <row r="2424" spans="1:2" x14ac:dyDescent="0.25">
      <c r="A2424" s="8"/>
      <c r="B2424" s="8" t="str">
        <f t="shared" si="40"/>
        <v/>
      </c>
    </row>
    <row r="2425" spans="1:2" x14ac:dyDescent="0.25">
      <c r="A2425" s="8"/>
      <c r="B2425" s="8" t="str">
        <f t="shared" si="40"/>
        <v/>
      </c>
    </row>
    <row r="2426" spans="1:2" x14ac:dyDescent="0.25">
      <c r="A2426" s="8"/>
      <c r="B2426" s="8" t="str">
        <f t="shared" si="40"/>
        <v/>
      </c>
    </row>
    <row r="2427" spans="1:2" x14ac:dyDescent="0.25">
      <c r="A2427" s="8"/>
      <c r="B2427" s="8" t="str">
        <f t="shared" si="40"/>
        <v/>
      </c>
    </row>
    <row r="2428" spans="1:2" x14ac:dyDescent="0.25">
      <c r="A2428" s="8"/>
      <c r="B2428" s="8" t="str">
        <f t="shared" si="40"/>
        <v/>
      </c>
    </row>
    <row r="2429" spans="1:2" x14ac:dyDescent="0.25">
      <c r="A2429" s="8"/>
      <c r="B2429" s="8" t="str">
        <f t="shared" si="40"/>
        <v/>
      </c>
    </row>
    <row r="2430" spans="1:2" x14ac:dyDescent="0.25">
      <c r="A2430" s="8"/>
      <c r="B2430" s="8" t="str">
        <f t="shared" si="40"/>
        <v/>
      </c>
    </row>
    <row r="2431" spans="1:2" x14ac:dyDescent="0.25">
      <c r="A2431" s="8"/>
      <c r="B2431" s="8" t="str">
        <f t="shared" si="40"/>
        <v/>
      </c>
    </row>
    <row r="2432" spans="1:2" x14ac:dyDescent="0.25">
      <c r="A2432" s="8"/>
      <c r="B2432" s="8" t="str">
        <f t="shared" si="40"/>
        <v/>
      </c>
    </row>
    <row r="2433" spans="1:2" x14ac:dyDescent="0.25">
      <c r="A2433" s="8"/>
      <c r="B2433" s="8" t="str">
        <f t="shared" si="40"/>
        <v/>
      </c>
    </row>
    <row r="2434" spans="1:2" x14ac:dyDescent="0.25">
      <c r="A2434" s="8"/>
      <c r="B2434" s="8" t="str">
        <f t="shared" si="40"/>
        <v/>
      </c>
    </row>
    <row r="2435" spans="1:2" x14ac:dyDescent="0.25">
      <c r="A2435" s="8"/>
      <c r="B2435" s="8" t="str">
        <f t="shared" si="40"/>
        <v/>
      </c>
    </row>
    <row r="2436" spans="1:2" x14ac:dyDescent="0.25">
      <c r="A2436" s="8"/>
      <c r="B2436" s="8" t="str">
        <f t="shared" ref="B2436:B2499" si="41">IF(A2436=0,"",41824+(ROUNDUP(DAYS360(41824,A2436)/7,0)*7))</f>
        <v/>
      </c>
    </row>
    <row r="2437" spans="1:2" x14ac:dyDescent="0.25">
      <c r="A2437" s="8"/>
      <c r="B2437" s="8" t="str">
        <f t="shared" si="41"/>
        <v/>
      </c>
    </row>
    <row r="2438" spans="1:2" x14ac:dyDescent="0.25">
      <c r="A2438" s="8"/>
      <c r="B2438" s="8" t="str">
        <f t="shared" si="41"/>
        <v/>
      </c>
    </row>
    <row r="2439" spans="1:2" x14ac:dyDescent="0.25">
      <c r="A2439" s="8"/>
      <c r="B2439" s="8" t="str">
        <f t="shared" si="41"/>
        <v/>
      </c>
    </row>
    <row r="2440" spans="1:2" x14ac:dyDescent="0.25">
      <c r="A2440" s="8"/>
      <c r="B2440" s="8" t="str">
        <f t="shared" si="41"/>
        <v/>
      </c>
    </row>
    <row r="2441" spans="1:2" x14ac:dyDescent="0.25">
      <c r="A2441" s="8"/>
      <c r="B2441" s="8" t="str">
        <f t="shared" si="41"/>
        <v/>
      </c>
    </row>
    <row r="2442" spans="1:2" x14ac:dyDescent="0.25">
      <c r="A2442" s="8"/>
      <c r="B2442" s="8" t="str">
        <f t="shared" si="41"/>
        <v/>
      </c>
    </row>
    <row r="2443" spans="1:2" x14ac:dyDescent="0.25">
      <c r="A2443" s="8"/>
      <c r="B2443" s="8" t="str">
        <f t="shared" si="41"/>
        <v/>
      </c>
    </row>
    <row r="2444" spans="1:2" x14ac:dyDescent="0.25">
      <c r="A2444" s="8"/>
      <c r="B2444" s="8" t="str">
        <f t="shared" si="41"/>
        <v/>
      </c>
    </row>
    <row r="2445" spans="1:2" x14ac:dyDescent="0.25">
      <c r="A2445" s="8"/>
      <c r="B2445" s="8" t="str">
        <f t="shared" si="41"/>
        <v/>
      </c>
    </row>
    <row r="2446" spans="1:2" x14ac:dyDescent="0.25">
      <c r="A2446" s="8"/>
      <c r="B2446" s="8" t="str">
        <f t="shared" si="41"/>
        <v/>
      </c>
    </row>
    <row r="2447" spans="1:2" x14ac:dyDescent="0.25">
      <c r="A2447" s="8"/>
      <c r="B2447" s="8" t="str">
        <f t="shared" si="41"/>
        <v/>
      </c>
    </row>
    <row r="2448" spans="1:2" x14ac:dyDescent="0.25">
      <c r="A2448" s="8"/>
      <c r="B2448" s="8" t="str">
        <f t="shared" si="41"/>
        <v/>
      </c>
    </row>
    <row r="2449" spans="1:2" x14ac:dyDescent="0.25">
      <c r="A2449" s="8"/>
      <c r="B2449" s="8" t="str">
        <f t="shared" si="41"/>
        <v/>
      </c>
    </row>
    <row r="2450" spans="1:2" x14ac:dyDescent="0.25">
      <c r="A2450" s="8"/>
      <c r="B2450" s="8" t="str">
        <f t="shared" si="41"/>
        <v/>
      </c>
    </row>
    <row r="2451" spans="1:2" x14ac:dyDescent="0.25">
      <c r="A2451" s="8"/>
      <c r="B2451" s="8" t="str">
        <f t="shared" si="41"/>
        <v/>
      </c>
    </row>
    <row r="2452" spans="1:2" x14ac:dyDescent="0.25">
      <c r="A2452" s="8"/>
      <c r="B2452" s="8" t="str">
        <f t="shared" si="41"/>
        <v/>
      </c>
    </row>
    <row r="2453" spans="1:2" x14ac:dyDescent="0.25">
      <c r="A2453" s="8"/>
      <c r="B2453" s="8" t="str">
        <f t="shared" si="41"/>
        <v/>
      </c>
    </row>
    <row r="2454" spans="1:2" x14ac:dyDescent="0.25">
      <c r="A2454" s="8"/>
      <c r="B2454" s="8" t="str">
        <f t="shared" si="41"/>
        <v/>
      </c>
    </row>
    <row r="2455" spans="1:2" x14ac:dyDescent="0.25">
      <c r="A2455" s="8"/>
      <c r="B2455" s="8" t="str">
        <f t="shared" si="41"/>
        <v/>
      </c>
    </row>
    <row r="2456" spans="1:2" x14ac:dyDescent="0.25">
      <c r="A2456" s="8"/>
      <c r="B2456" s="8" t="str">
        <f t="shared" si="41"/>
        <v/>
      </c>
    </row>
    <row r="2457" spans="1:2" x14ac:dyDescent="0.25">
      <c r="A2457" s="8"/>
      <c r="B2457" s="8" t="str">
        <f t="shared" si="41"/>
        <v/>
      </c>
    </row>
    <row r="2458" spans="1:2" x14ac:dyDescent="0.25">
      <c r="A2458" s="8"/>
      <c r="B2458" s="8" t="str">
        <f t="shared" si="41"/>
        <v/>
      </c>
    </row>
    <row r="2459" spans="1:2" x14ac:dyDescent="0.25">
      <c r="A2459" s="8"/>
      <c r="B2459" s="8" t="str">
        <f t="shared" si="41"/>
        <v/>
      </c>
    </row>
    <row r="2460" spans="1:2" x14ac:dyDescent="0.25">
      <c r="A2460" s="8"/>
      <c r="B2460" s="8" t="str">
        <f t="shared" si="41"/>
        <v/>
      </c>
    </row>
    <row r="2461" spans="1:2" x14ac:dyDescent="0.25">
      <c r="A2461" s="8"/>
      <c r="B2461" s="8" t="str">
        <f t="shared" si="41"/>
        <v/>
      </c>
    </row>
    <row r="2462" spans="1:2" x14ac:dyDescent="0.25">
      <c r="A2462" s="8"/>
      <c r="B2462" s="8" t="str">
        <f t="shared" si="41"/>
        <v/>
      </c>
    </row>
    <row r="2463" spans="1:2" x14ac:dyDescent="0.25">
      <c r="A2463" s="8"/>
      <c r="B2463" s="8" t="str">
        <f t="shared" si="41"/>
        <v/>
      </c>
    </row>
    <row r="2464" spans="1:2" x14ac:dyDescent="0.25">
      <c r="A2464" s="8"/>
      <c r="B2464" s="8" t="str">
        <f t="shared" si="41"/>
        <v/>
      </c>
    </row>
    <row r="2465" spans="1:2" x14ac:dyDescent="0.25">
      <c r="A2465" s="8"/>
      <c r="B2465" s="8" t="str">
        <f t="shared" si="41"/>
        <v/>
      </c>
    </row>
    <row r="2466" spans="1:2" x14ac:dyDescent="0.25">
      <c r="A2466" s="8"/>
      <c r="B2466" s="8" t="str">
        <f t="shared" si="41"/>
        <v/>
      </c>
    </row>
    <row r="2467" spans="1:2" x14ac:dyDescent="0.25">
      <c r="A2467" s="8"/>
      <c r="B2467" s="8" t="str">
        <f t="shared" si="41"/>
        <v/>
      </c>
    </row>
    <row r="2468" spans="1:2" x14ac:dyDescent="0.25">
      <c r="A2468" s="8"/>
      <c r="B2468" s="8" t="str">
        <f t="shared" si="41"/>
        <v/>
      </c>
    </row>
    <row r="2469" spans="1:2" x14ac:dyDescent="0.25">
      <c r="A2469" s="8"/>
      <c r="B2469" s="8" t="str">
        <f t="shared" si="41"/>
        <v/>
      </c>
    </row>
    <row r="2470" spans="1:2" x14ac:dyDescent="0.25">
      <c r="A2470" s="8"/>
      <c r="B2470" s="8" t="str">
        <f t="shared" si="41"/>
        <v/>
      </c>
    </row>
    <row r="2471" spans="1:2" x14ac:dyDescent="0.25">
      <c r="A2471" s="8"/>
      <c r="B2471" s="8" t="str">
        <f t="shared" si="41"/>
        <v/>
      </c>
    </row>
    <row r="2472" spans="1:2" x14ac:dyDescent="0.25">
      <c r="A2472" s="8"/>
      <c r="B2472" s="8" t="str">
        <f t="shared" si="41"/>
        <v/>
      </c>
    </row>
    <row r="2473" spans="1:2" x14ac:dyDescent="0.25">
      <c r="A2473" s="8"/>
      <c r="B2473" s="8" t="str">
        <f t="shared" si="41"/>
        <v/>
      </c>
    </row>
    <row r="2474" spans="1:2" x14ac:dyDescent="0.25">
      <c r="A2474" s="8"/>
      <c r="B2474" s="8" t="str">
        <f t="shared" si="41"/>
        <v/>
      </c>
    </row>
    <row r="2475" spans="1:2" x14ac:dyDescent="0.25">
      <c r="A2475" s="8"/>
      <c r="B2475" s="8" t="str">
        <f t="shared" si="41"/>
        <v/>
      </c>
    </row>
    <row r="2476" spans="1:2" x14ac:dyDescent="0.25">
      <c r="A2476" s="8"/>
      <c r="B2476" s="8" t="str">
        <f t="shared" si="41"/>
        <v/>
      </c>
    </row>
    <row r="2477" spans="1:2" x14ac:dyDescent="0.25">
      <c r="A2477" s="8"/>
      <c r="B2477" s="8" t="str">
        <f t="shared" si="41"/>
        <v/>
      </c>
    </row>
    <row r="2478" spans="1:2" x14ac:dyDescent="0.25">
      <c r="A2478" s="8"/>
      <c r="B2478" s="8" t="str">
        <f t="shared" si="41"/>
        <v/>
      </c>
    </row>
    <row r="2479" spans="1:2" x14ac:dyDescent="0.25">
      <c r="A2479" s="8"/>
      <c r="B2479" s="8" t="str">
        <f t="shared" si="41"/>
        <v/>
      </c>
    </row>
    <row r="2480" spans="1:2" x14ac:dyDescent="0.25">
      <c r="A2480" s="8"/>
      <c r="B2480" s="8" t="str">
        <f t="shared" si="41"/>
        <v/>
      </c>
    </row>
    <row r="2481" spans="1:2" x14ac:dyDescent="0.25">
      <c r="A2481" s="8"/>
      <c r="B2481" s="8" t="str">
        <f t="shared" si="41"/>
        <v/>
      </c>
    </row>
    <row r="2482" spans="1:2" x14ac:dyDescent="0.25">
      <c r="A2482" s="8"/>
      <c r="B2482" s="8" t="str">
        <f t="shared" si="41"/>
        <v/>
      </c>
    </row>
    <row r="2483" spans="1:2" x14ac:dyDescent="0.25">
      <c r="A2483" s="8"/>
      <c r="B2483" s="8" t="str">
        <f t="shared" si="41"/>
        <v/>
      </c>
    </row>
    <row r="2484" spans="1:2" x14ac:dyDescent="0.25">
      <c r="A2484" s="8"/>
      <c r="B2484" s="8" t="str">
        <f t="shared" si="41"/>
        <v/>
      </c>
    </row>
    <row r="2485" spans="1:2" x14ac:dyDescent="0.25">
      <c r="A2485" s="8"/>
      <c r="B2485" s="8" t="str">
        <f t="shared" si="41"/>
        <v/>
      </c>
    </row>
    <row r="2486" spans="1:2" x14ac:dyDescent="0.25">
      <c r="A2486" s="8"/>
      <c r="B2486" s="8" t="str">
        <f t="shared" si="41"/>
        <v/>
      </c>
    </row>
    <row r="2487" spans="1:2" x14ac:dyDescent="0.25">
      <c r="A2487" s="8"/>
      <c r="B2487" s="8" t="str">
        <f t="shared" si="41"/>
        <v/>
      </c>
    </row>
    <row r="2488" spans="1:2" x14ac:dyDescent="0.25">
      <c r="A2488" s="8"/>
      <c r="B2488" s="8" t="str">
        <f t="shared" si="41"/>
        <v/>
      </c>
    </row>
    <row r="2489" spans="1:2" x14ac:dyDescent="0.25">
      <c r="A2489" s="8"/>
      <c r="B2489" s="8" t="str">
        <f t="shared" si="41"/>
        <v/>
      </c>
    </row>
    <row r="2490" spans="1:2" x14ac:dyDescent="0.25">
      <c r="A2490" s="8"/>
      <c r="B2490" s="8" t="str">
        <f t="shared" si="41"/>
        <v/>
      </c>
    </row>
    <row r="2491" spans="1:2" x14ac:dyDescent="0.25">
      <c r="A2491" s="8"/>
      <c r="B2491" s="8" t="str">
        <f t="shared" si="41"/>
        <v/>
      </c>
    </row>
    <row r="2492" spans="1:2" x14ac:dyDescent="0.25">
      <c r="A2492" s="8"/>
      <c r="B2492" s="8" t="str">
        <f t="shared" si="41"/>
        <v/>
      </c>
    </row>
    <row r="2493" spans="1:2" x14ac:dyDescent="0.25">
      <c r="A2493" s="8"/>
      <c r="B2493" s="8" t="str">
        <f t="shared" si="41"/>
        <v/>
      </c>
    </row>
    <row r="2494" spans="1:2" x14ac:dyDescent="0.25">
      <c r="A2494" s="8"/>
      <c r="B2494" s="8" t="str">
        <f t="shared" si="41"/>
        <v/>
      </c>
    </row>
    <row r="2495" spans="1:2" x14ac:dyDescent="0.25">
      <c r="A2495" s="8"/>
      <c r="B2495" s="8" t="str">
        <f t="shared" si="41"/>
        <v/>
      </c>
    </row>
    <row r="2496" spans="1:2" x14ac:dyDescent="0.25">
      <c r="A2496" s="8"/>
      <c r="B2496" s="8" t="str">
        <f t="shared" si="41"/>
        <v/>
      </c>
    </row>
    <row r="2497" spans="1:2" x14ac:dyDescent="0.25">
      <c r="A2497" s="8"/>
      <c r="B2497" s="8" t="str">
        <f t="shared" si="41"/>
        <v/>
      </c>
    </row>
    <row r="2498" spans="1:2" x14ac:dyDescent="0.25">
      <c r="A2498" s="8"/>
      <c r="B2498" s="8" t="str">
        <f t="shared" si="41"/>
        <v/>
      </c>
    </row>
    <row r="2499" spans="1:2" x14ac:dyDescent="0.25">
      <c r="A2499" s="8"/>
      <c r="B2499" s="8" t="str">
        <f t="shared" si="41"/>
        <v/>
      </c>
    </row>
    <row r="2500" spans="1:2" x14ac:dyDescent="0.25">
      <c r="A2500" s="8"/>
      <c r="B2500" s="8" t="str">
        <f t="shared" ref="B2500:B2563" si="42">IF(A2500=0,"",41824+(ROUNDUP(DAYS360(41824,A2500)/7,0)*7))</f>
        <v/>
      </c>
    </row>
    <row r="2501" spans="1:2" x14ac:dyDescent="0.25">
      <c r="A2501" s="8"/>
      <c r="B2501" s="8" t="str">
        <f t="shared" si="42"/>
        <v/>
      </c>
    </row>
    <row r="2502" spans="1:2" x14ac:dyDescent="0.25">
      <c r="A2502" s="8"/>
      <c r="B2502" s="8" t="str">
        <f t="shared" si="42"/>
        <v/>
      </c>
    </row>
    <row r="2503" spans="1:2" x14ac:dyDescent="0.25">
      <c r="A2503" s="8"/>
      <c r="B2503" s="8" t="str">
        <f t="shared" si="42"/>
        <v/>
      </c>
    </row>
    <row r="2504" spans="1:2" x14ac:dyDescent="0.25">
      <c r="A2504" s="8"/>
      <c r="B2504" s="8" t="str">
        <f t="shared" si="42"/>
        <v/>
      </c>
    </row>
    <row r="2505" spans="1:2" x14ac:dyDescent="0.25">
      <c r="A2505" s="8"/>
      <c r="B2505" s="8" t="str">
        <f t="shared" si="42"/>
        <v/>
      </c>
    </row>
    <row r="2506" spans="1:2" x14ac:dyDescent="0.25">
      <c r="A2506" s="8"/>
      <c r="B2506" s="8" t="str">
        <f t="shared" si="42"/>
        <v/>
      </c>
    </row>
    <row r="2507" spans="1:2" x14ac:dyDescent="0.25">
      <c r="A2507" s="8"/>
      <c r="B2507" s="8" t="str">
        <f t="shared" si="42"/>
        <v/>
      </c>
    </row>
    <row r="2508" spans="1:2" x14ac:dyDescent="0.25">
      <c r="A2508" s="8"/>
      <c r="B2508" s="8" t="str">
        <f t="shared" si="42"/>
        <v/>
      </c>
    </row>
    <row r="2509" spans="1:2" x14ac:dyDescent="0.25">
      <c r="A2509" s="8"/>
      <c r="B2509" s="8" t="str">
        <f t="shared" si="42"/>
        <v/>
      </c>
    </row>
    <row r="2510" spans="1:2" x14ac:dyDescent="0.25">
      <c r="A2510" s="8"/>
      <c r="B2510" s="8" t="str">
        <f t="shared" si="42"/>
        <v/>
      </c>
    </row>
    <row r="2511" spans="1:2" x14ac:dyDescent="0.25">
      <c r="A2511" s="8"/>
      <c r="B2511" s="8" t="str">
        <f t="shared" si="42"/>
        <v/>
      </c>
    </row>
    <row r="2512" spans="1:2" x14ac:dyDescent="0.25">
      <c r="A2512" s="8"/>
      <c r="B2512" s="8" t="str">
        <f t="shared" si="42"/>
        <v/>
      </c>
    </row>
    <row r="2513" spans="1:2" x14ac:dyDescent="0.25">
      <c r="A2513" s="8"/>
      <c r="B2513" s="8" t="str">
        <f t="shared" si="42"/>
        <v/>
      </c>
    </row>
    <row r="2514" spans="1:2" x14ac:dyDescent="0.25">
      <c r="A2514" s="8"/>
      <c r="B2514" s="8" t="str">
        <f t="shared" si="42"/>
        <v/>
      </c>
    </row>
    <row r="2515" spans="1:2" x14ac:dyDescent="0.25">
      <c r="A2515" s="8"/>
      <c r="B2515" s="8" t="str">
        <f t="shared" si="42"/>
        <v/>
      </c>
    </row>
    <row r="2516" spans="1:2" x14ac:dyDescent="0.25">
      <c r="A2516" s="8"/>
      <c r="B2516" s="8" t="str">
        <f t="shared" si="42"/>
        <v/>
      </c>
    </row>
    <row r="2517" spans="1:2" x14ac:dyDescent="0.25">
      <c r="A2517" s="8"/>
      <c r="B2517" s="8" t="str">
        <f t="shared" si="42"/>
        <v/>
      </c>
    </row>
    <row r="2518" spans="1:2" x14ac:dyDescent="0.25">
      <c r="A2518" s="8"/>
      <c r="B2518" s="8" t="str">
        <f t="shared" si="42"/>
        <v/>
      </c>
    </row>
    <row r="2519" spans="1:2" x14ac:dyDescent="0.25">
      <c r="A2519" s="8"/>
      <c r="B2519" s="8" t="str">
        <f t="shared" si="42"/>
        <v/>
      </c>
    </row>
    <row r="2520" spans="1:2" x14ac:dyDescent="0.25">
      <c r="A2520" s="8"/>
      <c r="B2520" s="8" t="str">
        <f t="shared" si="42"/>
        <v/>
      </c>
    </row>
    <row r="2521" spans="1:2" x14ac:dyDescent="0.25">
      <c r="A2521" s="8"/>
      <c r="B2521" s="8" t="str">
        <f t="shared" si="42"/>
        <v/>
      </c>
    </row>
    <row r="2522" spans="1:2" x14ac:dyDescent="0.25">
      <c r="A2522" s="8"/>
      <c r="B2522" s="8" t="str">
        <f t="shared" si="42"/>
        <v/>
      </c>
    </row>
    <row r="2523" spans="1:2" x14ac:dyDescent="0.25">
      <c r="A2523" s="8"/>
      <c r="B2523" s="8" t="str">
        <f t="shared" si="42"/>
        <v/>
      </c>
    </row>
    <row r="2524" spans="1:2" x14ac:dyDescent="0.25">
      <c r="A2524" s="8"/>
      <c r="B2524" s="8" t="str">
        <f t="shared" si="42"/>
        <v/>
      </c>
    </row>
    <row r="2525" spans="1:2" x14ac:dyDescent="0.25">
      <c r="A2525" s="8"/>
      <c r="B2525" s="8" t="str">
        <f t="shared" si="42"/>
        <v/>
      </c>
    </row>
    <row r="2526" spans="1:2" x14ac:dyDescent="0.25">
      <c r="A2526" s="8"/>
      <c r="B2526" s="8" t="str">
        <f t="shared" si="42"/>
        <v/>
      </c>
    </row>
    <row r="2527" spans="1:2" x14ac:dyDescent="0.25">
      <c r="A2527" s="8"/>
      <c r="B2527" s="8" t="str">
        <f t="shared" si="42"/>
        <v/>
      </c>
    </row>
    <row r="2528" spans="1:2" x14ac:dyDescent="0.25">
      <c r="A2528" s="8"/>
      <c r="B2528" s="8" t="str">
        <f t="shared" si="42"/>
        <v/>
      </c>
    </row>
    <row r="2529" spans="1:2" x14ac:dyDescent="0.25">
      <c r="A2529" s="8"/>
      <c r="B2529" s="8" t="str">
        <f t="shared" si="42"/>
        <v/>
      </c>
    </row>
    <row r="2530" spans="1:2" x14ac:dyDescent="0.25">
      <c r="A2530" s="8"/>
      <c r="B2530" s="8" t="str">
        <f t="shared" si="42"/>
        <v/>
      </c>
    </row>
    <row r="2531" spans="1:2" x14ac:dyDescent="0.25">
      <c r="A2531" s="8"/>
      <c r="B2531" s="8" t="str">
        <f t="shared" si="42"/>
        <v/>
      </c>
    </row>
    <row r="2532" spans="1:2" x14ac:dyDescent="0.25">
      <c r="A2532" s="8"/>
      <c r="B2532" s="8" t="str">
        <f t="shared" si="42"/>
        <v/>
      </c>
    </row>
    <row r="2533" spans="1:2" x14ac:dyDescent="0.25">
      <c r="A2533" s="8"/>
      <c r="B2533" s="8" t="str">
        <f t="shared" si="42"/>
        <v/>
      </c>
    </row>
    <row r="2534" spans="1:2" x14ac:dyDescent="0.25">
      <c r="A2534" s="8"/>
      <c r="B2534" s="8" t="str">
        <f t="shared" si="42"/>
        <v/>
      </c>
    </row>
    <row r="2535" spans="1:2" x14ac:dyDescent="0.25">
      <c r="A2535" s="8"/>
      <c r="B2535" s="8" t="str">
        <f t="shared" si="42"/>
        <v/>
      </c>
    </row>
    <row r="2536" spans="1:2" x14ac:dyDescent="0.25">
      <c r="A2536" s="8"/>
      <c r="B2536" s="8" t="str">
        <f t="shared" si="42"/>
        <v/>
      </c>
    </row>
    <row r="2537" spans="1:2" x14ac:dyDescent="0.25">
      <c r="A2537" s="8"/>
      <c r="B2537" s="8" t="str">
        <f t="shared" si="42"/>
        <v/>
      </c>
    </row>
    <row r="2538" spans="1:2" x14ac:dyDescent="0.25">
      <c r="A2538" s="8"/>
      <c r="B2538" s="8" t="str">
        <f t="shared" si="42"/>
        <v/>
      </c>
    </row>
    <row r="2539" spans="1:2" x14ac:dyDescent="0.25">
      <c r="A2539" s="8"/>
      <c r="B2539" s="8" t="str">
        <f t="shared" si="42"/>
        <v/>
      </c>
    </row>
    <row r="2540" spans="1:2" x14ac:dyDescent="0.25">
      <c r="A2540" s="8"/>
      <c r="B2540" s="8" t="str">
        <f t="shared" si="42"/>
        <v/>
      </c>
    </row>
    <row r="2541" spans="1:2" x14ac:dyDescent="0.25">
      <c r="A2541" s="8"/>
      <c r="B2541" s="8" t="str">
        <f t="shared" si="42"/>
        <v/>
      </c>
    </row>
    <row r="2542" spans="1:2" x14ac:dyDescent="0.25">
      <c r="A2542" s="8"/>
      <c r="B2542" s="8" t="str">
        <f t="shared" si="42"/>
        <v/>
      </c>
    </row>
    <row r="2543" spans="1:2" x14ac:dyDescent="0.25">
      <c r="A2543" s="8"/>
      <c r="B2543" s="8" t="str">
        <f t="shared" si="42"/>
        <v/>
      </c>
    </row>
    <row r="2544" spans="1:2" x14ac:dyDescent="0.25">
      <c r="A2544" s="8"/>
      <c r="B2544" s="8" t="str">
        <f t="shared" si="42"/>
        <v/>
      </c>
    </row>
    <row r="2545" spans="1:2" x14ac:dyDescent="0.25">
      <c r="A2545" s="8"/>
      <c r="B2545" s="8" t="str">
        <f t="shared" si="42"/>
        <v/>
      </c>
    </row>
    <row r="2546" spans="1:2" x14ac:dyDescent="0.25">
      <c r="A2546" s="8"/>
      <c r="B2546" s="8" t="str">
        <f t="shared" si="42"/>
        <v/>
      </c>
    </row>
    <row r="2547" spans="1:2" x14ac:dyDescent="0.25">
      <c r="A2547" s="8"/>
      <c r="B2547" s="8" t="str">
        <f t="shared" si="42"/>
        <v/>
      </c>
    </row>
    <row r="2548" spans="1:2" x14ac:dyDescent="0.25">
      <c r="A2548" s="8"/>
      <c r="B2548" s="8" t="str">
        <f t="shared" si="42"/>
        <v/>
      </c>
    </row>
    <row r="2549" spans="1:2" x14ac:dyDescent="0.25">
      <c r="A2549" s="8"/>
      <c r="B2549" s="8" t="str">
        <f t="shared" si="42"/>
        <v/>
      </c>
    </row>
    <row r="2550" spans="1:2" x14ac:dyDescent="0.25">
      <c r="A2550" s="8"/>
      <c r="B2550" s="8" t="str">
        <f t="shared" si="42"/>
        <v/>
      </c>
    </row>
    <row r="2551" spans="1:2" x14ac:dyDescent="0.25">
      <c r="A2551" s="8"/>
      <c r="B2551" s="8" t="str">
        <f t="shared" si="42"/>
        <v/>
      </c>
    </row>
    <row r="2552" spans="1:2" x14ac:dyDescent="0.25">
      <c r="A2552" s="8"/>
      <c r="B2552" s="8" t="str">
        <f t="shared" si="42"/>
        <v/>
      </c>
    </row>
    <row r="2553" spans="1:2" x14ac:dyDescent="0.25">
      <c r="A2553" s="8"/>
      <c r="B2553" s="8" t="str">
        <f t="shared" si="42"/>
        <v/>
      </c>
    </row>
    <row r="2554" spans="1:2" x14ac:dyDescent="0.25">
      <c r="A2554" s="8"/>
      <c r="B2554" s="8" t="str">
        <f t="shared" si="42"/>
        <v/>
      </c>
    </row>
    <row r="2555" spans="1:2" x14ac:dyDescent="0.25">
      <c r="A2555" s="8"/>
      <c r="B2555" s="8" t="str">
        <f t="shared" si="42"/>
        <v/>
      </c>
    </row>
    <row r="2556" spans="1:2" x14ac:dyDescent="0.25">
      <c r="A2556" s="8"/>
      <c r="B2556" s="8" t="str">
        <f t="shared" si="42"/>
        <v/>
      </c>
    </row>
    <row r="2557" spans="1:2" x14ac:dyDescent="0.25">
      <c r="A2557" s="8"/>
      <c r="B2557" s="8" t="str">
        <f t="shared" si="42"/>
        <v/>
      </c>
    </row>
    <row r="2558" spans="1:2" x14ac:dyDescent="0.25">
      <c r="A2558" s="8"/>
      <c r="B2558" s="8" t="str">
        <f t="shared" si="42"/>
        <v/>
      </c>
    </row>
    <row r="2559" spans="1:2" x14ac:dyDescent="0.25">
      <c r="A2559" s="8"/>
      <c r="B2559" s="8" t="str">
        <f t="shared" si="42"/>
        <v/>
      </c>
    </row>
    <row r="2560" spans="1:2" x14ac:dyDescent="0.25">
      <c r="A2560" s="8"/>
      <c r="B2560" s="8" t="str">
        <f t="shared" si="42"/>
        <v/>
      </c>
    </row>
    <row r="2561" spans="1:2" x14ac:dyDescent="0.25">
      <c r="A2561" s="8"/>
      <c r="B2561" s="8" t="str">
        <f t="shared" si="42"/>
        <v/>
      </c>
    </row>
    <row r="2562" spans="1:2" x14ac:dyDescent="0.25">
      <c r="A2562" s="8"/>
      <c r="B2562" s="8" t="str">
        <f t="shared" si="42"/>
        <v/>
      </c>
    </row>
    <row r="2563" spans="1:2" x14ac:dyDescent="0.25">
      <c r="A2563" s="8"/>
      <c r="B2563" s="8" t="str">
        <f t="shared" si="42"/>
        <v/>
      </c>
    </row>
    <row r="2564" spans="1:2" x14ac:dyDescent="0.25">
      <c r="A2564" s="8"/>
      <c r="B2564" s="8" t="str">
        <f t="shared" ref="B2564:B2627" si="43">IF(A2564=0,"",41824+(ROUNDUP(DAYS360(41824,A2564)/7,0)*7))</f>
        <v/>
      </c>
    </row>
    <row r="2565" spans="1:2" x14ac:dyDescent="0.25">
      <c r="A2565" s="8"/>
      <c r="B2565" s="8" t="str">
        <f t="shared" si="43"/>
        <v/>
      </c>
    </row>
    <row r="2566" spans="1:2" x14ac:dyDescent="0.25">
      <c r="A2566" s="8"/>
      <c r="B2566" s="8" t="str">
        <f t="shared" si="43"/>
        <v/>
      </c>
    </row>
    <row r="2567" spans="1:2" x14ac:dyDescent="0.25">
      <c r="A2567" s="8"/>
      <c r="B2567" s="8" t="str">
        <f t="shared" si="43"/>
        <v/>
      </c>
    </row>
    <row r="2568" spans="1:2" x14ac:dyDescent="0.25">
      <c r="A2568" s="8"/>
      <c r="B2568" s="8" t="str">
        <f t="shared" si="43"/>
        <v/>
      </c>
    </row>
    <row r="2569" spans="1:2" x14ac:dyDescent="0.25">
      <c r="A2569" s="8"/>
      <c r="B2569" s="8" t="str">
        <f t="shared" si="43"/>
        <v/>
      </c>
    </row>
    <row r="2570" spans="1:2" x14ac:dyDescent="0.25">
      <c r="A2570" s="8"/>
      <c r="B2570" s="8" t="str">
        <f t="shared" si="43"/>
        <v/>
      </c>
    </row>
    <row r="2571" spans="1:2" x14ac:dyDescent="0.25">
      <c r="A2571" s="8"/>
      <c r="B2571" s="8" t="str">
        <f t="shared" si="43"/>
        <v/>
      </c>
    </row>
    <row r="2572" spans="1:2" x14ac:dyDescent="0.25">
      <c r="A2572" s="8"/>
      <c r="B2572" s="8" t="str">
        <f t="shared" si="43"/>
        <v/>
      </c>
    </row>
    <row r="2573" spans="1:2" x14ac:dyDescent="0.25">
      <c r="A2573" s="8"/>
      <c r="B2573" s="8" t="str">
        <f t="shared" si="43"/>
        <v/>
      </c>
    </row>
    <row r="2574" spans="1:2" x14ac:dyDescent="0.25">
      <c r="A2574" s="8"/>
      <c r="B2574" s="8" t="str">
        <f t="shared" si="43"/>
        <v/>
      </c>
    </row>
    <row r="2575" spans="1:2" x14ac:dyDescent="0.25">
      <c r="A2575" s="8"/>
      <c r="B2575" s="8" t="str">
        <f t="shared" si="43"/>
        <v/>
      </c>
    </row>
    <row r="2576" spans="1:2" x14ac:dyDescent="0.25">
      <c r="A2576" s="8"/>
      <c r="B2576" s="8" t="str">
        <f t="shared" si="43"/>
        <v/>
      </c>
    </row>
    <row r="2577" spans="1:2" x14ac:dyDescent="0.25">
      <c r="A2577" s="8"/>
      <c r="B2577" s="8" t="str">
        <f t="shared" si="43"/>
        <v/>
      </c>
    </row>
    <row r="2578" spans="1:2" x14ac:dyDescent="0.25">
      <c r="A2578" s="8"/>
      <c r="B2578" s="8" t="str">
        <f t="shared" si="43"/>
        <v/>
      </c>
    </row>
    <row r="2579" spans="1:2" x14ac:dyDescent="0.25">
      <c r="A2579" s="8"/>
      <c r="B2579" s="8" t="str">
        <f t="shared" si="43"/>
        <v/>
      </c>
    </row>
    <row r="2580" spans="1:2" x14ac:dyDescent="0.25">
      <c r="A2580" s="8"/>
      <c r="B2580" s="8" t="str">
        <f t="shared" si="43"/>
        <v/>
      </c>
    </row>
    <row r="2581" spans="1:2" x14ac:dyDescent="0.25">
      <c r="A2581" s="8"/>
      <c r="B2581" s="8" t="str">
        <f t="shared" si="43"/>
        <v/>
      </c>
    </row>
    <row r="2582" spans="1:2" x14ac:dyDescent="0.25">
      <c r="A2582" s="8"/>
      <c r="B2582" s="8" t="str">
        <f t="shared" si="43"/>
        <v/>
      </c>
    </row>
    <row r="2583" spans="1:2" x14ac:dyDescent="0.25">
      <c r="A2583" s="8"/>
      <c r="B2583" s="8" t="str">
        <f t="shared" si="43"/>
        <v/>
      </c>
    </row>
    <row r="2584" spans="1:2" x14ac:dyDescent="0.25">
      <c r="A2584" s="8"/>
      <c r="B2584" s="8" t="str">
        <f t="shared" si="43"/>
        <v/>
      </c>
    </row>
    <row r="2585" spans="1:2" x14ac:dyDescent="0.25">
      <c r="A2585" s="8"/>
      <c r="B2585" s="8" t="str">
        <f t="shared" si="43"/>
        <v/>
      </c>
    </row>
    <row r="2586" spans="1:2" x14ac:dyDescent="0.25">
      <c r="A2586" s="8"/>
      <c r="B2586" s="8" t="str">
        <f t="shared" si="43"/>
        <v/>
      </c>
    </row>
    <row r="2587" spans="1:2" x14ac:dyDescent="0.25">
      <c r="A2587" s="8"/>
      <c r="B2587" s="8" t="str">
        <f t="shared" si="43"/>
        <v/>
      </c>
    </row>
    <row r="2588" spans="1:2" x14ac:dyDescent="0.25">
      <c r="A2588" s="8"/>
      <c r="B2588" s="8" t="str">
        <f t="shared" si="43"/>
        <v/>
      </c>
    </row>
    <row r="2589" spans="1:2" x14ac:dyDescent="0.25">
      <c r="A2589" s="8"/>
      <c r="B2589" s="8" t="str">
        <f t="shared" si="43"/>
        <v/>
      </c>
    </row>
    <row r="2590" spans="1:2" x14ac:dyDescent="0.25">
      <c r="A2590" s="8"/>
      <c r="B2590" s="8" t="str">
        <f t="shared" si="43"/>
        <v/>
      </c>
    </row>
    <row r="2591" spans="1:2" x14ac:dyDescent="0.25">
      <c r="A2591" s="8"/>
      <c r="B2591" s="8" t="str">
        <f t="shared" si="43"/>
        <v/>
      </c>
    </row>
    <row r="2592" spans="1:2" x14ac:dyDescent="0.25">
      <c r="A2592" s="8"/>
      <c r="B2592" s="8" t="str">
        <f t="shared" si="43"/>
        <v/>
      </c>
    </row>
    <row r="2593" spans="1:2" x14ac:dyDescent="0.25">
      <c r="A2593" s="8"/>
      <c r="B2593" s="8" t="str">
        <f t="shared" si="43"/>
        <v/>
      </c>
    </row>
    <row r="2594" spans="1:2" x14ac:dyDescent="0.25">
      <c r="A2594" s="8"/>
      <c r="B2594" s="8" t="str">
        <f t="shared" si="43"/>
        <v/>
      </c>
    </row>
    <row r="2595" spans="1:2" x14ac:dyDescent="0.25">
      <c r="A2595" s="8"/>
      <c r="B2595" s="8" t="str">
        <f t="shared" si="43"/>
        <v/>
      </c>
    </row>
    <row r="2596" spans="1:2" x14ac:dyDescent="0.25">
      <c r="A2596" s="8"/>
      <c r="B2596" s="8" t="str">
        <f t="shared" si="43"/>
        <v/>
      </c>
    </row>
    <row r="2597" spans="1:2" x14ac:dyDescent="0.25">
      <c r="A2597" s="8"/>
      <c r="B2597" s="8" t="str">
        <f t="shared" si="43"/>
        <v/>
      </c>
    </row>
    <row r="2598" spans="1:2" x14ac:dyDescent="0.25">
      <c r="A2598" s="8"/>
      <c r="B2598" s="8" t="str">
        <f t="shared" si="43"/>
        <v/>
      </c>
    </row>
    <row r="2599" spans="1:2" x14ac:dyDescent="0.25">
      <c r="A2599" s="8"/>
      <c r="B2599" s="8" t="str">
        <f t="shared" si="43"/>
        <v/>
      </c>
    </row>
    <row r="2600" spans="1:2" x14ac:dyDescent="0.25">
      <c r="A2600" s="8"/>
      <c r="B2600" s="8" t="str">
        <f t="shared" si="43"/>
        <v/>
      </c>
    </row>
    <row r="2601" spans="1:2" x14ac:dyDescent="0.25">
      <c r="A2601" s="8"/>
      <c r="B2601" s="8" t="str">
        <f t="shared" si="43"/>
        <v/>
      </c>
    </row>
    <row r="2602" spans="1:2" x14ac:dyDescent="0.25">
      <c r="A2602" s="8"/>
      <c r="B2602" s="8" t="str">
        <f t="shared" si="43"/>
        <v/>
      </c>
    </row>
    <row r="2603" spans="1:2" x14ac:dyDescent="0.25">
      <c r="A2603" s="8"/>
      <c r="B2603" s="8" t="str">
        <f t="shared" si="43"/>
        <v/>
      </c>
    </row>
    <row r="2604" spans="1:2" x14ac:dyDescent="0.25">
      <c r="A2604" s="8"/>
      <c r="B2604" s="8" t="str">
        <f t="shared" si="43"/>
        <v/>
      </c>
    </row>
    <row r="2605" spans="1:2" x14ac:dyDescent="0.25">
      <c r="A2605" s="8"/>
      <c r="B2605" s="8" t="str">
        <f t="shared" si="43"/>
        <v/>
      </c>
    </row>
    <row r="2606" spans="1:2" x14ac:dyDescent="0.25">
      <c r="A2606" s="8"/>
      <c r="B2606" s="8" t="str">
        <f t="shared" si="43"/>
        <v/>
      </c>
    </row>
    <row r="2607" spans="1:2" x14ac:dyDescent="0.25">
      <c r="A2607" s="8"/>
      <c r="B2607" s="8" t="str">
        <f t="shared" si="43"/>
        <v/>
      </c>
    </row>
    <row r="2608" spans="1:2" x14ac:dyDescent="0.25">
      <c r="A2608" s="8"/>
      <c r="B2608" s="8" t="str">
        <f t="shared" si="43"/>
        <v/>
      </c>
    </row>
    <row r="2609" spans="1:2" x14ac:dyDescent="0.25">
      <c r="A2609" s="8"/>
      <c r="B2609" s="8" t="str">
        <f t="shared" si="43"/>
        <v/>
      </c>
    </row>
    <row r="2610" spans="1:2" x14ac:dyDescent="0.25">
      <c r="A2610" s="8"/>
      <c r="B2610" s="8" t="str">
        <f t="shared" si="43"/>
        <v/>
      </c>
    </row>
    <row r="2611" spans="1:2" x14ac:dyDescent="0.25">
      <c r="A2611" s="8"/>
      <c r="B2611" s="8" t="str">
        <f t="shared" si="43"/>
        <v/>
      </c>
    </row>
    <row r="2612" spans="1:2" x14ac:dyDescent="0.25">
      <c r="A2612" s="8"/>
      <c r="B2612" s="8" t="str">
        <f t="shared" si="43"/>
        <v/>
      </c>
    </row>
    <row r="2613" spans="1:2" x14ac:dyDescent="0.25">
      <c r="A2613" s="8"/>
      <c r="B2613" s="8" t="str">
        <f t="shared" si="43"/>
        <v/>
      </c>
    </row>
    <row r="2614" spans="1:2" x14ac:dyDescent="0.25">
      <c r="A2614" s="8"/>
      <c r="B2614" s="8" t="str">
        <f t="shared" si="43"/>
        <v/>
      </c>
    </row>
    <row r="2615" spans="1:2" x14ac:dyDescent="0.25">
      <c r="A2615" s="8"/>
      <c r="B2615" s="8" t="str">
        <f t="shared" si="43"/>
        <v/>
      </c>
    </row>
    <row r="2616" spans="1:2" x14ac:dyDescent="0.25">
      <c r="A2616" s="8"/>
      <c r="B2616" s="8" t="str">
        <f t="shared" si="43"/>
        <v/>
      </c>
    </row>
    <row r="2617" spans="1:2" x14ac:dyDescent="0.25">
      <c r="A2617" s="8"/>
      <c r="B2617" s="8" t="str">
        <f t="shared" si="43"/>
        <v/>
      </c>
    </row>
    <row r="2618" spans="1:2" x14ac:dyDescent="0.25">
      <c r="A2618" s="8"/>
      <c r="B2618" s="8" t="str">
        <f t="shared" si="43"/>
        <v/>
      </c>
    </row>
    <row r="2619" spans="1:2" x14ac:dyDescent="0.25">
      <c r="A2619" s="8"/>
      <c r="B2619" s="8" t="str">
        <f t="shared" si="43"/>
        <v/>
      </c>
    </row>
    <row r="2620" spans="1:2" x14ac:dyDescent="0.25">
      <c r="A2620" s="8"/>
      <c r="B2620" s="8" t="str">
        <f t="shared" si="43"/>
        <v/>
      </c>
    </row>
    <row r="2621" spans="1:2" x14ac:dyDescent="0.25">
      <c r="A2621" s="8"/>
      <c r="B2621" s="8" t="str">
        <f t="shared" si="43"/>
        <v/>
      </c>
    </row>
    <row r="2622" spans="1:2" x14ac:dyDescent="0.25">
      <c r="A2622" s="8"/>
      <c r="B2622" s="8" t="str">
        <f t="shared" si="43"/>
        <v/>
      </c>
    </row>
    <row r="2623" spans="1:2" x14ac:dyDescent="0.25">
      <c r="A2623" s="8"/>
      <c r="B2623" s="8" t="str">
        <f t="shared" si="43"/>
        <v/>
      </c>
    </row>
    <row r="2624" spans="1:2" x14ac:dyDescent="0.25">
      <c r="A2624" s="8"/>
      <c r="B2624" s="8" t="str">
        <f t="shared" si="43"/>
        <v/>
      </c>
    </row>
    <row r="2625" spans="1:2" x14ac:dyDescent="0.25">
      <c r="A2625" s="8"/>
      <c r="B2625" s="8" t="str">
        <f t="shared" si="43"/>
        <v/>
      </c>
    </row>
    <row r="2626" spans="1:2" x14ac:dyDescent="0.25">
      <c r="A2626" s="8"/>
      <c r="B2626" s="8" t="str">
        <f t="shared" si="43"/>
        <v/>
      </c>
    </row>
    <row r="2627" spans="1:2" x14ac:dyDescent="0.25">
      <c r="A2627" s="8"/>
      <c r="B2627" s="8" t="str">
        <f t="shared" si="43"/>
        <v/>
      </c>
    </row>
    <row r="2628" spans="1:2" x14ac:dyDescent="0.25">
      <c r="A2628" s="8"/>
      <c r="B2628" s="8" t="str">
        <f t="shared" ref="B2628:B2691" si="44">IF(A2628=0,"",41824+(ROUNDUP(DAYS360(41824,A2628)/7,0)*7))</f>
        <v/>
      </c>
    </row>
    <row r="2629" spans="1:2" x14ac:dyDescent="0.25">
      <c r="A2629" s="8"/>
      <c r="B2629" s="8" t="str">
        <f t="shared" si="44"/>
        <v/>
      </c>
    </row>
    <row r="2630" spans="1:2" x14ac:dyDescent="0.25">
      <c r="A2630" s="8"/>
      <c r="B2630" s="8" t="str">
        <f t="shared" si="44"/>
        <v/>
      </c>
    </row>
    <row r="2631" spans="1:2" x14ac:dyDescent="0.25">
      <c r="A2631" s="8"/>
      <c r="B2631" s="8" t="str">
        <f t="shared" si="44"/>
        <v/>
      </c>
    </row>
    <row r="2632" spans="1:2" x14ac:dyDescent="0.25">
      <c r="A2632" s="8"/>
      <c r="B2632" s="8" t="str">
        <f t="shared" si="44"/>
        <v/>
      </c>
    </row>
    <row r="2633" spans="1:2" x14ac:dyDescent="0.25">
      <c r="A2633" s="8"/>
      <c r="B2633" s="8" t="str">
        <f t="shared" si="44"/>
        <v/>
      </c>
    </row>
    <row r="2634" spans="1:2" x14ac:dyDescent="0.25">
      <c r="A2634" s="8"/>
      <c r="B2634" s="8" t="str">
        <f t="shared" si="44"/>
        <v/>
      </c>
    </row>
    <row r="2635" spans="1:2" x14ac:dyDescent="0.25">
      <c r="A2635" s="8"/>
      <c r="B2635" s="8" t="str">
        <f t="shared" si="44"/>
        <v/>
      </c>
    </row>
    <row r="2636" spans="1:2" x14ac:dyDescent="0.25">
      <c r="A2636" s="8"/>
      <c r="B2636" s="8" t="str">
        <f t="shared" si="44"/>
        <v/>
      </c>
    </row>
    <row r="2637" spans="1:2" x14ac:dyDescent="0.25">
      <c r="A2637" s="8"/>
      <c r="B2637" s="8" t="str">
        <f t="shared" si="44"/>
        <v/>
      </c>
    </row>
    <row r="2638" spans="1:2" x14ac:dyDescent="0.25">
      <c r="A2638" s="8"/>
      <c r="B2638" s="8" t="str">
        <f t="shared" si="44"/>
        <v/>
      </c>
    </row>
    <row r="2639" spans="1:2" x14ac:dyDescent="0.25">
      <c r="A2639" s="8"/>
      <c r="B2639" s="8" t="str">
        <f t="shared" si="44"/>
        <v/>
      </c>
    </row>
    <row r="2640" spans="1:2" x14ac:dyDescent="0.25">
      <c r="A2640" s="8"/>
      <c r="B2640" s="8" t="str">
        <f t="shared" si="44"/>
        <v/>
      </c>
    </row>
    <row r="2641" spans="1:2" x14ac:dyDescent="0.25">
      <c r="A2641" s="8"/>
      <c r="B2641" s="8" t="str">
        <f t="shared" si="44"/>
        <v/>
      </c>
    </row>
    <row r="2642" spans="1:2" x14ac:dyDescent="0.25">
      <c r="A2642" s="8"/>
      <c r="B2642" s="8" t="str">
        <f t="shared" si="44"/>
        <v/>
      </c>
    </row>
    <row r="2643" spans="1:2" x14ac:dyDescent="0.25">
      <c r="A2643" s="8"/>
      <c r="B2643" s="8" t="str">
        <f t="shared" si="44"/>
        <v/>
      </c>
    </row>
    <row r="2644" spans="1:2" x14ac:dyDescent="0.25">
      <c r="A2644" s="8"/>
      <c r="B2644" s="8" t="str">
        <f t="shared" si="44"/>
        <v/>
      </c>
    </row>
    <row r="2645" spans="1:2" x14ac:dyDescent="0.25">
      <c r="A2645" s="8"/>
      <c r="B2645" s="8" t="str">
        <f t="shared" si="44"/>
        <v/>
      </c>
    </row>
    <row r="2646" spans="1:2" x14ac:dyDescent="0.25">
      <c r="A2646" s="8"/>
      <c r="B2646" s="8" t="str">
        <f t="shared" si="44"/>
        <v/>
      </c>
    </row>
    <row r="2647" spans="1:2" x14ac:dyDescent="0.25">
      <c r="A2647" s="8"/>
      <c r="B2647" s="8" t="str">
        <f t="shared" si="44"/>
        <v/>
      </c>
    </row>
    <row r="2648" spans="1:2" x14ac:dyDescent="0.25">
      <c r="A2648" s="8"/>
      <c r="B2648" s="8" t="str">
        <f t="shared" si="44"/>
        <v/>
      </c>
    </row>
    <row r="2649" spans="1:2" x14ac:dyDescent="0.25">
      <c r="A2649" s="8"/>
      <c r="B2649" s="8" t="str">
        <f t="shared" si="44"/>
        <v/>
      </c>
    </row>
    <row r="2650" spans="1:2" x14ac:dyDescent="0.25">
      <c r="A2650" s="8"/>
      <c r="B2650" s="8" t="str">
        <f t="shared" si="44"/>
        <v/>
      </c>
    </row>
    <row r="2651" spans="1:2" x14ac:dyDescent="0.25">
      <c r="A2651" s="8"/>
      <c r="B2651" s="8" t="str">
        <f t="shared" si="44"/>
        <v/>
      </c>
    </row>
    <row r="2652" spans="1:2" x14ac:dyDescent="0.25">
      <c r="A2652" s="8"/>
      <c r="B2652" s="8" t="str">
        <f t="shared" si="44"/>
        <v/>
      </c>
    </row>
    <row r="2653" spans="1:2" x14ac:dyDescent="0.25">
      <c r="A2653" s="8"/>
      <c r="B2653" s="8" t="str">
        <f t="shared" si="44"/>
        <v/>
      </c>
    </row>
    <row r="2654" spans="1:2" x14ac:dyDescent="0.25">
      <c r="A2654" s="8"/>
      <c r="B2654" s="8" t="str">
        <f t="shared" si="44"/>
        <v/>
      </c>
    </row>
    <row r="2655" spans="1:2" x14ac:dyDescent="0.25">
      <c r="A2655" s="8"/>
      <c r="B2655" s="8" t="str">
        <f t="shared" si="44"/>
        <v/>
      </c>
    </row>
    <row r="2656" spans="1:2" x14ac:dyDescent="0.25">
      <c r="A2656" s="8"/>
      <c r="B2656" s="8" t="str">
        <f t="shared" si="44"/>
        <v/>
      </c>
    </row>
    <row r="2657" spans="1:2" x14ac:dyDescent="0.25">
      <c r="A2657" s="8"/>
      <c r="B2657" s="8" t="str">
        <f t="shared" si="44"/>
        <v/>
      </c>
    </row>
    <row r="2658" spans="1:2" x14ac:dyDescent="0.25">
      <c r="A2658" s="8"/>
      <c r="B2658" s="8" t="str">
        <f t="shared" si="44"/>
        <v/>
      </c>
    </row>
    <row r="2659" spans="1:2" x14ac:dyDescent="0.25">
      <c r="A2659" s="8"/>
      <c r="B2659" s="8" t="str">
        <f t="shared" si="44"/>
        <v/>
      </c>
    </row>
    <row r="2660" spans="1:2" x14ac:dyDescent="0.25">
      <c r="A2660" s="8"/>
      <c r="B2660" s="8" t="str">
        <f t="shared" si="44"/>
        <v/>
      </c>
    </row>
    <row r="2661" spans="1:2" x14ac:dyDescent="0.25">
      <c r="A2661" s="8"/>
      <c r="B2661" s="8" t="str">
        <f t="shared" si="44"/>
        <v/>
      </c>
    </row>
    <row r="2662" spans="1:2" x14ac:dyDescent="0.25">
      <c r="A2662" s="8"/>
      <c r="B2662" s="8" t="str">
        <f t="shared" si="44"/>
        <v/>
      </c>
    </row>
    <row r="2663" spans="1:2" x14ac:dyDescent="0.25">
      <c r="A2663" s="8"/>
      <c r="B2663" s="8" t="str">
        <f t="shared" si="44"/>
        <v/>
      </c>
    </row>
    <row r="2664" spans="1:2" x14ac:dyDescent="0.25">
      <c r="A2664" s="8"/>
      <c r="B2664" s="8" t="str">
        <f t="shared" si="44"/>
        <v/>
      </c>
    </row>
    <row r="2665" spans="1:2" x14ac:dyDescent="0.25">
      <c r="A2665" s="8"/>
      <c r="B2665" s="8" t="str">
        <f t="shared" si="44"/>
        <v/>
      </c>
    </row>
    <row r="2666" spans="1:2" x14ac:dyDescent="0.25">
      <c r="A2666" s="8"/>
      <c r="B2666" s="8" t="str">
        <f t="shared" si="44"/>
        <v/>
      </c>
    </row>
    <row r="2667" spans="1:2" x14ac:dyDescent="0.25">
      <c r="A2667" s="8"/>
      <c r="B2667" s="8" t="str">
        <f t="shared" si="44"/>
        <v/>
      </c>
    </row>
    <row r="2668" spans="1:2" x14ac:dyDescent="0.25">
      <c r="A2668" s="8"/>
      <c r="B2668" s="8" t="str">
        <f t="shared" si="44"/>
        <v/>
      </c>
    </row>
    <row r="2669" spans="1:2" x14ac:dyDescent="0.25">
      <c r="A2669" s="8"/>
      <c r="B2669" s="8" t="str">
        <f t="shared" si="44"/>
        <v/>
      </c>
    </row>
    <row r="2670" spans="1:2" x14ac:dyDescent="0.25">
      <c r="A2670" s="8"/>
      <c r="B2670" s="8" t="str">
        <f t="shared" si="44"/>
        <v/>
      </c>
    </row>
    <row r="2671" spans="1:2" x14ac:dyDescent="0.25">
      <c r="A2671" s="8"/>
      <c r="B2671" s="8" t="str">
        <f t="shared" si="44"/>
        <v/>
      </c>
    </row>
    <row r="2672" spans="1:2" x14ac:dyDescent="0.25">
      <c r="A2672" s="8"/>
      <c r="B2672" s="8" t="str">
        <f t="shared" si="44"/>
        <v/>
      </c>
    </row>
    <row r="2673" spans="1:2" x14ac:dyDescent="0.25">
      <c r="A2673" s="8"/>
      <c r="B2673" s="8" t="str">
        <f t="shared" si="44"/>
        <v/>
      </c>
    </row>
    <row r="2674" spans="1:2" x14ac:dyDescent="0.25">
      <c r="A2674" s="8"/>
      <c r="B2674" s="8" t="str">
        <f t="shared" si="44"/>
        <v/>
      </c>
    </row>
    <row r="2675" spans="1:2" x14ac:dyDescent="0.25">
      <c r="A2675" s="8"/>
      <c r="B2675" s="8" t="str">
        <f t="shared" si="44"/>
        <v/>
      </c>
    </row>
    <row r="2676" spans="1:2" x14ac:dyDescent="0.25">
      <c r="A2676" s="8"/>
      <c r="B2676" s="8" t="str">
        <f t="shared" si="44"/>
        <v/>
      </c>
    </row>
    <row r="2677" spans="1:2" x14ac:dyDescent="0.25">
      <c r="A2677" s="8"/>
      <c r="B2677" s="8" t="str">
        <f t="shared" si="44"/>
        <v/>
      </c>
    </row>
    <row r="2678" spans="1:2" x14ac:dyDescent="0.25">
      <c r="A2678" s="8"/>
      <c r="B2678" s="8" t="str">
        <f t="shared" si="44"/>
        <v/>
      </c>
    </row>
    <row r="2679" spans="1:2" x14ac:dyDescent="0.25">
      <c r="A2679" s="8"/>
      <c r="B2679" s="8" t="str">
        <f t="shared" si="44"/>
        <v/>
      </c>
    </row>
    <row r="2680" spans="1:2" x14ac:dyDescent="0.25">
      <c r="A2680" s="8"/>
      <c r="B2680" s="8" t="str">
        <f t="shared" si="44"/>
        <v/>
      </c>
    </row>
    <row r="2681" spans="1:2" x14ac:dyDescent="0.25">
      <c r="A2681" s="8"/>
      <c r="B2681" s="8" t="str">
        <f t="shared" si="44"/>
        <v/>
      </c>
    </row>
    <row r="2682" spans="1:2" x14ac:dyDescent="0.25">
      <c r="A2682" s="8"/>
      <c r="B2682" s="8" t="str">
        <f t="shared" si="44"/>
        <v/>
      </c>
    </row>
    <row r="2683" spans="1:2" x14ac:dyDescent="0.25">
      <c r="A2683" s="8"/>
      <c r="B2683" s="8" t="str">
        <f t="shared" si="44"/>
        <v/>
      </c>
    </row>
    <row r="2684" spans="1:2" x14ac:dyDescent="0.25">
      <c r="A2684" s="8"/>
      <c r="B2684" s="8" t="str">
        <f t="shared" si="44"/>
        <v/>
      </c>
    </row>
    <row r="2685" spans="1:2" x14ac:dyDescent="0.25">
      <c r="A2685" s="8"/>
      <c r="B2685" s="8" t="str">
        <f t="shared" si="44"/>
        <v/>
      </c>
    </row>
    <row r="2686" spans="1:2" x14ac:dyDescent="0.25">
      <c r="A2686" s="8"/>
      <c r="B2686" s="8" t="str">
        <f t="shared" si="44"/>
        <v/>
      </c>
    </row>
    <row r="2687" spans="1:2" x14ac:dyDescent="0.25">
      <c r="A2687" s="8"/>
      <c r="B2687" s="8" t="str">
        <f t="shared" si="44"/>
        <v/>
      </c>
    </row>
    <row r="2688" spans="1:2" x14ac:dyDescent="0.25">
      <c r="A2688" s="8"/>
      <c r="B2688" s="8" t="str">
        <f t="shared" si="44"/>
        <v/>
      </c>
    </row>
    <row r="2689" spans="1:2" x14ac:dyDescent="0.25">
      <c r="A2689" s="8"/>
      <c r="B2689" s="8" t="str">
        <f t="shared" si="44"/>
        <v/>
      </c>
    </row>
    <row r="2690" spans="1:2" x14ac:dyDescent="0.25">
      <c r="A2690" s="8"/>
      <c r="B2690" s="8" t="str">
        <f t="shared" si="44"/>
        <v/>
      </c>
    </row>
    <row r="2691" spans="1:2" x14ac:dyDescent="0.25">
      <c r="A2691" s="8"/>
      <c r="B2691" s="8" t="str">
        <f t="shared" si="44"/>
        <v/>
      </c>
    </row>
    <row r="2692" spans="1:2" x14ac:dyDescent="0.25">
      <c r="A2692" s="8"/>
      <c r="B2692" s="8" t="str">
        <f t="shared" ref="B2692:B2755" si="45">IF(A2692=0,"",41824+(ROUNDUP(DAYS360(41824,A2692)/7,0)*7))</f>
        <v/>
      </c>
    </row>
    <row r="2693" spans="1:2" x14ac:dyDescent="0.25">
      <c r="A2693" s="8"/>
      <c r="B2693" s="8" t="str">
        <f t="shared" si="45"/>
        <v/>
      </c>
    </row>
    <row r="2694" spans="1:2" x14ac:dyDescent="0.25">
      <c r="A2694" s="8"/>
      <c r="B2694" s="8" t="str">
        <f t="shared" si="45"/>
        <v/>
      </c>
    </row>
    <row r="2695" spans="1:2" x14ac:dyDescent="0.25">
      <c r="A2695" s="8"/>
      <c r="B2695" s="8" t="str">
        <f t="shared" si="45"/>
        <v/>
      </c>
    </row>
    <row r="2696" spans="1:2" x14ac:dyDescent="0.25">
      <c r="A2696" s="8"/>
      <c r="B2696" s="8" t="str">
        <f t="shared" si="45"/>
        <v/>
      </c>
    </row>
    <row r="2697" spans="1:2" x14ac:dyDescent="0.25">
      <c r="A2697" s="8"/>
      <c r="B2697" s="8" t="str">
        <f t="shared" si="45"/>
        <v/>
      </c>
    </row>
    <row r="2698" spans="1:2" x14ac:dyDescent="0.25">
      <c r="A2698" s="8"/>
      <c r="B2698" s="8" t="str">
        <f t="shared" si="45"/>
        <v/>
      </c>
    </row>
    <row r="2699" spans="1:2" x14ac:dyDescent="0.25">
      <c r="A2699" s="8"/>
      <c r="B2699" s="8" t="str">
        <f t="shared" si="45"/>
        <v/>
      </c>
    </row>
    <row r="2700" spans="1:2" x14ac:dyDescent="0.25">
      <c r="A2700" s="8"/>
      <c r="B2700" s="8" t="str">
        <f t="shared" si="45"/>
        <v/>
      </c>
    </row>
    <row r="2701" spans="1:2" x14ac:dyDescent="0.25">
      <c r="A2701" s="8"/>
      <c r="B2701" s="8" t="str">
        <f t="shared" si="45"/>
        <v/>
      </c>
    </row>
    <row r="2702" spans="1:2" x14ac:dyDescent="0.25">
      <c r="A2702" s="8"/>
      <c r="B2702" s="8" t="str">
        <f t="shared" si="45"/>
        <v/>
      </c>
    </row>
    <row r="2703" spans="1:2" x14ac:dyDescent="0.25">
      <c r="A2703" s="8"/>
      <c r="B2703" s="8" t="str">
        <f t="shared" si="45"/>
        <v/>
      </c>
    </row>
    <row r="2704" spans="1:2" x14ac:dyDescent="0.25">
      <c r="A2704" s="8"/>
      <c r="B2704" s="8" t="str">
        <f t="shared" si="45"/>
        <v/>
      </c>
    </row>
    <row r="2705" spans="1:2" x14ac:dyDescent="0.25">
      <c r="A2705" s="8"/>
      <c r="B2705" s="8" t="str">
        <f t="shared" si="45"/>
        <v/>
      </c>
    </row>
    <row r="2706" spans="1:2" x14ac:dyDescent="0.25">
      <c r="A2706" s="8"/>
      <c r="B2706" s="8" t="str">
        <f t="shared" si="45"/>
        <v/>
      </c>
    </row>
    <row r="2707" spans="1:2" x14ac:dyDescent="0.25">
      <c r="A2707" s="8"/>
      <c r="B2707" s="8" t="str">
        <f t="shared" si="45"/>
        <v/>
      </c>
    </row>
    <row r="2708" spans="1:2" x14ac:dyDescent="0.25">
      <c r="A2708" s="8"/>
      <c r="B2708" s="8" t="str">
        <f t="shared" si="45"/>
        <v/>
      </c>
    </row>
    <row r="2709" spans="1:2" x14ac:dyDescent="0.25">
      <c r="A2709" s="8"/>
      <c r="B2709" s="8" t="str">
        <f t="shared" si="45"/>
        <v/>
      </c>
    </row>
    <row r="2710" spans="1:2" x14ac:dyDescent="0.25">
      <c r="A2710" s="8"/>
      <c r="B2710" s="8" t="str">
        <f t="shared" si="45"/>
        <v/>
      </c>
    </row>
    <row r="2711" spans="1:2" x14ac:dyDescent="0.25">
      <c r="A2711" s="8"/>
      <c r="B2711" s="8" t="str">
        <f t="shared" si="45"/>
        <v/>
      </c>
    </row>
    <row r="2712" spans="1:2" x14ac:dyDescent="0.25">
      <c r="A2712" s="8"/>
      <c r="B2712" s="8" t="str">
        <f t="shared" si="45"/>
        <v/>
      </c>
    </row>
    <row r="2713" spans="1:2" x14ac:dyDescent="0.25">
      <c r="A2713" s="8"/>
      <c r="B2713" s="8" t="str">
        <f t="shared" si="45"/>
        <v/>
      </c>
    </row>
    <row r="2714" spans="1:2" x14ac:dyDescent="0.25">
      <c r="A2714" s="8"/>
      <c r="B2714" s="8" t="str">
        <f t="shared" si="45"/>
        <v/>
      </c>
    </row>
    <row r="2715" spans="1:2" x14ac:dyDescent="0.25">
      <c r="A2715" s="8"/>
      <c r="B2715" s="8" t="str">
        <f t="shared" si="45"/>
        <v/>
      </c>
    </row>
    <row r="2716" spans="1:2" x14ac:dyDescent="0.25">
      <c r="A2716" s="8"/>
      <c r="B2716" s="8" t="str">
        <f t="shared" si="45"/>
        <v/>
      </c>
    </row>
    <row r="2717" spans="1:2" x14ac:dyDescent="0.25">
      <c r="A2717" s="8"/>
      <c r="B2717" s="8" t="str">
        <f t="shared" si="45"/>
        <v/>
      </c>
    </row>
    <row r="2718" spans="1:2" x14ac:dyDescent="0.25">
      <c r="A2718" s="8"/>
      <c r="B2718" s="8" t="str">
        <f t="shared" si="45"/>
        <v/>
      </c>
    </row>
    <row r="2719" spans="1:2" x14ac:dyDescent="0.25">
      <c r="A2719" s="8"/>
      <c r="B2719" s="8" t="str">
        <f t="shared" si="45"/>
        <v/>
      </c>
    </row>
    <row r="2720" spans="1:2" x14ac:dyDescent="0.25">
      <c r="A2720" s="8"/>
      <c r="B2720" s="8" t="str">
        <f t="shared" si="45"/>
        <v/>
      </c>
    </row>
    <row r="2721" spans="1:2" x14ac:dyDescent="0.25">
      <c r="A2721" s="8"/>
      <c r="B2721" s="8" t="str">
        <f t="shared" si="45"/>
        <v/>
      </c>
    </row>
    <row r="2722" spans="1:2" x14ac:dyDescent="0.25">
      <c r="A2722" s="8"/>
      <c r="B2722" s="8" t="str">
        <f t="shared" si="45"/>
        <v/>
      </c>
    </row>
    <row r="2723" spans="1:2" x14ac:dyDescent="0.25">
      <c r="A2723" s="8"/>
      <c r="B2723" s="8" t="str">
        <f t="shared" si="45"/>
        <v/>
      </c>
    </row>
    <row r="2724" spans="1:2" x14ac:dyDescent="0.25">
      <c r="A2724" s="8"/>
      <c r="B2724" s="8" t="str">
        <f t="shared" si="45"/>
        <v/>
      </c>
    </row>
    <row r="2725" spans="1:2" x14ac:dyDescent="0.25">
      <c r="A2725" s="8"/>
      <c r="B2725" s="8" t="str">
        <f t="shared" si="45"/>
        <v/>
      </c>
    </row>
    <row r="2726" spans="1:2" x14ac:dyDescent="0.25">
      <c r="A2726" s="8"/>
      <c r="B2726" s="8" t="str">
        <f t="shared" si="45"/>
        <v/>
      </c>
    </row>
    <row r="2727" spans="1:2" x14ac:dyDescent="0.25">
      <c r="A2727" s="8"/>
      <c r="B2727" s="8" t="str">
        <f t="shared" si="45"/>
        <v/>
      </c>
    </row>
    <row r="2728" spans="1:2" x14ac:dyDescent="0.25">
      <c r="A2728" s="8"/>
      <c r="B2728" s="8" t="str">
        <f t="shared" si="45"/>
        <v/>
      </c>
    </row>
    <row r="2729" spans="1:2" x14ac:dyDescent="0.25">
      <c r="A2729" s="8"/>
      <c r="B2729" s="8" t="str">
        <f t="shared" si="45"/>
        <v/>
      </c>
    </row>
    <row r="2730" spans="1:2" x14ac:dyDescent="0.25">
      <c r="A2730" s="8"/>
      <c r="B2730" s="8" t="str">
        <f t="shared" si="45"/>
        <v/>
      </c>
    </row>
    <row r="2731" spans="1:2" x14ac:dyDescent="0.25">
      <c r="A2731" s="8"/>
      <c r="B2731" s="8" t="str">
        <f t="shared" si="45"/>
        <v/>
      </c>
    </row>
    <row r="2732" spans="1:2" x14ac:dyDescent="0.25">
      <c r="A2732" s="8"/>
      <c r="B2732" s="8" t="str">
        <f t="shared" si="45"/>
        <v/>
      </c>
    </row>
    <row r="2733" spans="1:2" x14ac:dyDescent="0.25">
      <c r="A2733" s="8"/>
      <c r="B2733" s="8" t="str">
        <f t="shared" si="45"/>
        <v/>
      </c>
    </row>
    <row r="2734" spans="1:2" x14ac:dyDescent="0.25">
      <c r="A2734" s="8"/>
      <c r="B2734" s="8" t="str">
        <f t="shared" si="45"/>
        <v/>
      </c>
    </row>
    <row r="2735" spans="1:2" x14ac:dyDescent="0.25">
      <c r="A2735" s="8"/>
      <c r="B2735" s="8" t="str">
        <f t="shared" si="45"/>
        <v/>
      </c>
    </row>
    <row r="2736" spans="1:2" x14ac:dyDescent="0.25">
      <c r="A2736" s="8"/>
      <c r="B2736" s="8" t="str">
        <f t="shared" si="45"/>
        <v/>
      </c>
    </row>
    <row r="2737" spans="1:2" x14ac:dyDescent="0.25">
      <c r="A2737" s="8"/>
      <c r="B2737" s="8" t="str">
        <f t="shared" si="45"/>
        <v/>
      </c>
    </row>
    <row r="2738" spans="1:2" x14ac:dyDescent="0.25">
      <c r="A2738" s="8"/>
      <c r="B2738" s="8" t="str">
        <f t="shared" si="45"/>
        <v/>
      </c>
    </row>
    <row r="2739" spans="1:2" x14ac:dyDescent="0.25">
      <c r="A2739" s="8"/>
      <c r="B2739" s="8" t="str">
        <f t="shared" si="45"/>
        <v/>
      </c>
    </row>
    <row r="2740" spans="1:2" x14ac:dyDescent="0.25">
      <c r="A2740" s="8"/>
      <c r="B2740" s="8" t="str">
        <f t="shared" si="45"/>
        <v/>
      </c>
    </row>
    <row r="2741" spans="1:2" x14ac:dyDescent="0.25">
      <c r="A2741" s="8"/>
      <c r="B2741" s="8" t="str">
        <f t="shared" si="45"/>
        <v/>
      </c>
    </row>
    <row r="2742" spans="1:2" x14ac:dyDescent="0.25">
      <c r="A2742" s="8"/>
      <c r="B2742" s="8" t="str">
        <f t="shared" si="45"/>
        <v/>
      </c>
    </row>
    <row r="2743" spans="1:2" x14ac:dyDescent="0.25">
      <c r="A2743" s="8"/>
      <c r="B2743" s="8" t="str">
        <f t="shared" si="45"/>
        <v/>
      </c>
    </row>
    <row r="2744" spans="1:2" x14ac:dyDescent="0.25">
      <c r="A2744" s="8"/>
      <c r="B2744" s="8" t="str">
        <f t="shared" si="45"/>
        <v/>
      </c>
    </row>
    <row r="2745" spans="1:2" x14ac:dyDescent="0.25">
      <c r="A2745" s="8"/>
      <c r="B2745" s="8" t="str">
        <f t="shared" si="45"/>
        <v/>
      </c>
    </row>
    <row r="2746" spans="1:2" x14ac:dyDescent="0.25">
      <c r="A2746" s="8"/>
      <c r="B2746" s="8" t="str">
        <f t="shared" si="45"/>
        <v/>
      </c>
    </row>
    <row r="2747" spans="1:2" x14ac:dyDescent="0.25">
      <c r="A2747" s="8"/>
      <c r="B2747" s="8" t="str">
        <f t="shared" si="45"/>
        <v/>
      </c>
    </row>
    <row r="2748" spans="1:2" x14ac:dyDescent="0.25">
      <c r="A2748" s="8"/>
      <c r="B2748" s="8" t="str">
        <f t="shared" si="45"/>
        <v/>
      </c>
    </row>
    <row r="2749" spans="1:2" x14ac:dyDescent="0.25">
      <c r="A2749" s="8"/>
      <c r="B2749" s="8" t="str">
        <f t="shared" si="45"/>
        <v/>
      </c>
    </row>
    <row r="2750" spans="1:2" x14ac:dyDescent="0.25">
      <c r="A2750" s="8"/>
      <c r="B2750" s="8" t="str">
        <f t="shared" si="45"/>
        <v/>
      </c>
    </row>
    <row r="2751" spans="1:2" x14ac:dyDescent="0.25">
      <c r="A2751" s="8"/>
      <c r="B2751" s="8" t="str">
        <f t="shared" si="45"/>
        <v/>
      </c>
    </row>
    <row r="2752" spans="1:2" x14ac:dyDescent="0.25">
      <c r="A2752" s="8"/>
      <c r="B2752" s="8" t="str">
        <f t="shared" si="45"/>
        <v/>
      </c>
    </row>
    <row r="2753" spans="1:2" x14ac:dyDescent="0.25">
      <c r="A2753" s="8"/>
      <c r="B2753" s="8" t="str">
        <f t="shared" si="45"/>
        <v/>
      </c>
    </row>
    <row r="2754" spans="1:2" x14ac:dyDescent="0.25">
      <c r="A2754" s="8"/>
      <c r="B2754" s="8" t="str">
        <f t="shared" si="45"/>
        <v/>
      </c>
    </row>
    <row r="2755" spans="1:2" x14ac:dyDescent="0.25">
      <c r="A2755" s="8"/>
      <c r="B2755" s="8" t="str">
        <f t="shared" si="45"/>
        <v/>
      </c>
    </row>
    <row r="2756" spans="1:2" x14ac:dyDescent="0.25">
      <c r="A2756" s="8"/>
      <c r="B2756" s="8" t="str">
        <f t="shared" ref="B2756:B2819" si="46">IF(A2756=0,"",41824+(ROUNDUP(DAYS360(41824,A2756)/7,0)*7))</f>
        <v/>
      </c>
    </row>
    <row r="2757" spans="1:2" x14ac:dyDescent="0.25">
      <c r="A2757" s="8"/>
      <c r="B2757" s="8" t="str">
        <f t="shared" si="46"/>
        <v/>
      </c>
    </row>
    <row r="2758" spans="1:2" x14ac:dyDescent="0.25">
      <c r="A2758" s="8"/>
      <c r="B2758" s="8" t="str">
        <f t="shared" si="46"/>
        <v/>
      </c>
    </row>
    <row r="2759" spans="1:2" x14ac:dyDescent="0.25">
      <c r="A2759" s="8"/>
      <c r="B2759" s="8" t="str">
        <f t="shared" si="46"/>
        <v/>
      </c>
    </row>
    <row r="2760" spans="1:2" x14ac:dyDescent="0.25">
      <c r="A2760" s="8"/>
      <c r="B2760" s="8" t="str">
        <f t="shared" si="46"/>
        <v/>
      </c>
    </row>
    <row r="2761" spans="1:2" x14ac:dyDescent="0.25">
      <c r="A2761" s="8"/>
      <c r="B2761" s="8" t="str">
        <f t="shared" si="46"/>
        <v/>
      </c>
    </row>
    <row r="2762" spans="1:2" x14ac:dyDescent="0.25">
      <c r="A2762" s="8"/>
      <c r="B2762" s="8" t="str">
        <f t="shared" si="46"/>
        <v/>
      </c>
    </row>
    <row r="2763" spans="1:2" x14ac:dyDescent="0.25">
      <c r="A2763" s="8"/>
      <c r="B2763" s="8" t="str">
        <f t="shared" si="46"/>
        <v/>
      </c>
    </row>
    <row r="2764" spans="1:2" x14ac:dyDescent="0.25">
      <c r="A2764" s="8"/>
      <c r="B2764" s="8" t="str">
        <f t="shared" si="46"/>
        <v/>
      </c>
    </row>
    <row r="2765" spans="1:2" x14ac:dyDescent="0.25">
      <c r="A2765" s="8"/>
      <c r="B2765" s="8" t="str">
        <f t="shared" si="46"/>
        <v/>
      </c>
    </row>
    <row r="2766" spans="1:2" x14ac:dyDescent="0.25">
      <c r="A2766" s="8"/>
      <c r="B2766" s="8" t="str">
        <f t="shared" si="46"/>
        <v/>
      </c>
    </row>
    <row r="2767" spans="1:2" x14ac:dyDescent="0.25">
      <c r="A2767" s="8"/>
      <c r="B2767" s="8" t="str">
        <f t="shared" si="46"/>
        <v/>
      </c>
    </row>
    <row r="2768" spans="1:2" x14ac:dyDescent="0.25">
      <c r="A2768" s="8"/>
      <c r="B2768" s="8" t="str">
        <f t="shared" si="46"/>
        <v/>
      </c>
    </row>
    <row r="2769" spans="1:2" x14ac:dyDescent="0.25">
      <c r="A2769" s="8"/>
      <c r="B2769" s="8" t="str">
        <f t="shared" si="46"/>
        <v/>
      </c>
    </row>
    <row r="2770" spans="1:2" x14ac:dyDescent="0.25">
      <c r="A2770" s="8"/>
      <c r="B2770" s="8" t="str">
        <f t="shared" si="46"/>
        <v/>
      </c>
    </row>
    <row r="2771" spans="1:2" x14ac:dyDescent="0.25">
      <c r="A2771" s="8"/>
      <c r="B2771" s="8" t="str">
        <f t="shared" si="46"/>
        <v/>
      </c>
    </row>
    <row r="2772" spans="1:2" x14ac:dyDescent="0.25">
      <c r="A2772" s="8"/>
      <c r="B2772" s="8" t="str">
        <f t="shared" si="46"/>
        <v/>
      </c>
    </row>
    <row r="2773" spans="1:2" x14ac:dyDescent="0.25">
      <c r="A2773" s="8"/>
      <c r="B2773" s="8" t="str">
        <f t="shared" si="46"/>
        <v/>
      </c>
    </row>
    <row r="2774" spans="1:2" x14ac:dyDescent="0.25">
      <c r="A2774" s="8"/>
      <c r="B2774" s="8" t="str">
        <f t="shared" si="46"/>
        <v/>
      </c>
    </row>
    <row r="2775" spans="1:2" x14ac:dyDescent="0.25">
      <c r="A2775" s="8"/>
      <c r="B2775" s="8" t="str">
        <f t="shared" si="46"/>
        <v/>
      </c>
    </row>
    <row r="2776" spans="1:2" x14ac:dyDescent="0.25">
      <c r="A2776" s="8"/>
      <c r="B2776" s="8" t="str">
        <f t="shared" si="46"/>
        <v/>
      </c>
    </row>
    <row r="2777" spans="1:2" x14ac:dyDescent="0.25">
      <c r="A2777" s="8"/>
      <c r="B2777" s="8" t="str">
        <f t="shared" si="46"/>
        <v/>
      </c>
    </row>
    <row r="2778" spans="1:2" x14ac:dyDescent="0.25">
      <c r="A2778" s="8"/>
      <c r="B2778" s="8" t="str">
        <f t="shared" si="46"/>
        <v/>
      </c>
    </row>
    <row r="2779" spans="1:2" x14ac:dyDescent="0.25">
      <c r="A2779" s="8"/>
      <c r="B2779" s="8" t="str">
        <f t="shared" si="46"/>
        <v/>
      </c>
    </row>
    <row r="2780" spans="1:2" x14ac:dyDescent="0.25">
      <c r="A2780" s="8"/>
      <c r="B2780" s="8" t="str">
        <f t="shared" si="46"/>
        <v/>
      </c>
    </row>
    <row r="2781" spans="1:2" x14ac:dyDescent="0.25">
      <c r="A2781" s="8"/>
      <c r="B2781" s="8" t="str">
        <f t="shared" si="46"/>
        <v/>
      </c>
    </row>
    <row r="2782" spans="1:2" x14ac:dyDescent="0.25">
      <c r="A2782" s="8"/>
      <c r="B2782" s="8" t="str">
        <f t="shared" si="46"/>
        <v/>
      </c>
    </row>
    <row r="2783" spans="1:2" x14ac:dyDescent="0.25">
      <c r="A2783" s="8"/>
      <c r="B2783" s="8" t="str">
        <f t="shared" si="46"/>
        <v/>
      </c>
    </row>
    <row r="2784" spans="1:2" x14ac:dyDescent="0.25">
      <c r="A2784" s="8"/>
      <c r="B2784" s="8" t="str">
        <f t="shared" si="46"/>
        <v/>
      </c>
    </row>
    <row r="2785" spans="1:2" x14ac:dyDescent="0.25">
      <c r="A2785" s="8"/>
      <c r="B2785" s="8" t="str">
        <f t="shared" si="46"/>
        <v/>
      </c>
    </row>
    <row r="2786" spans="1:2" x14ac:dyDescent="0.25">
      <c r="A2786" s="8"/>
      <c r="B2786" s="8" t="str">
        <f t="shared" si="46"/>
        <v/>
      </c>
    </row>
    <row r="2787" spans="1:2" x14ac:dyDescent="0.25">
      <c r="A2787" s="8"/>
      <c r="B2787" s="8" t="str">
        <f t="shared" si="46"/>
        <v/>
      </c>
    </row>
    <row r="2788" spans="1:2" x14ac:dyDescent="0.25">
      <c r="A2788" s="8"/>
      <c r="B2788" s="8" t="str">
        <f t="shared" si="46"/>
        <v/>
      </c>
    </row>
    <row r="2789" spans="1:2" x14ac:dyDescent="0.25">
      <c r="A2789" s="8"/>
      <c r="B2789" s="8" t="str">
        <f t="shared" si="46"/>
        <v/>
      </c>
    </row>
    <row r="2790" spans="1:2" x14ac:dyDescent="0.25">
      <c r="A2790" s="8"/>
      <c r="B2790" s="8" t="str">
        <f t="shared" si="46"/>
        <v/>
      </c>
    </row>
    <row r="2791" spans="1:2" x14ac:dyDescent="0.25">
      <c r="A2791" s="8"/>
      <c r="B2791" s="8" t="str">
        <f t="shared" si="46"/>
        <v/>
      </c>
    </row>
    <row r="2792" spans="1:2" x14ac:dyDescent="0.25">
      <c r="A2792" s="8"/>
      <c r="B2792" s="8" t="str">
        <f t="shared" si="46"/>
        <v/>
      </c>
    </row>
    <row r="2793" spans="1:2" x14ac:dyDescent="0.25">
      <c r="A2793" s="8"/>
      <c r="B2793" s="8" t="str">
        <f t="shared" si="46"/>
        <v/>
      </c>
    </row>
    <row r="2794" spans="1:2" x14ac:dyDescent="0.25">
      <c r="A2794" s="8"/>
      <c r="B2794" s="8" t="str">
        <f t="shared" si="46"/>
        <v/>
      </c>
    </row>
    <row r="2795" spans="1:2" x14ac:dyDescent="0.25">
      <c r="A2795" s="8"/>
      <c r="B2795" s="8" t="str">
        <f t="shared" si="46"/>
        <v/>
      </c>
    </row>
    <row r="2796" spans="1:2" x14ac:dyDescent="0.25">
      <c r="A2796" s="8"/>
      <c r="B2796" s="8" t="str">
        <f t="shared" si="46"/>
        <v/>
      </c>
    </row>
    <row r="2797" spans="1:2" x14ac:dyDescent="0.25">
      <c r="A2797" s="8"/>
      <c r="B2797" s="8" t="str">
        <f t="shared" si="46"/>
        <v/>
      </c>
    </row>
    <row r="2798" spans="1:2" x14ac:dyDescent="0.25">
      <c r="A2798" s="8"/>
      <c r="B2798" s="8" t="str">
        <f t="shared" si="46"/>
        <v/>
      </c>
    </row>
    <row r="2799" spans="1:2" x14ac:dyDescent="0.25">
      <c r="A2799" s="8"/>
      <c r="B2799" s="8" t="str">
        <f t="shared" si="46"/>
        <v/>
      </c>
    </row>
    <row r="2800" spans="1:2" x14ac:dyDescent="0.25">
      <c r="A2800" s="8"/>
      <c r="B2800" s="8" t="str">
        <f t="shared" si="46"/>
        <v/>
      </c>
    </row>
    <row r="2801" spans="1:2" x14ac:dyDescent="0.25">
      <c r="A2801" s="8"/>
      <c r="B2801" s="8" t="str">
        <f t="shared" si="46"/>
        <v/>
      </c>
    </row>
    <row r="2802" spans="1:2" x14ac:dyDescent="0.25">
      <c r="A2802" s="8"/>
      <c r="B2802" s="8" t="str">
        <f t="shared" si="46"/>
        <v/>
      </c>
    </row>
    <row r="2803" spans="1:2" x14ac:dyDescent="0.25">
      <c r="A2803" s="8"/>
      <c r="B2803" s="8" t="str">
        <f t="shared" si="46"/>
        <v/>
      </c>
    </row>
    <row r="2804" spans="1:2" x14ac:dyDescent="0.25">
      <c r="A2804" s="8"/>
      <c r="B2804" s="8" t="str">
        <f t="shared" si="46"/>
        <v/>
      </c>
    </row>
    <row r="2805" spans="1:2" x14ac:dyDescent="0.25">
      <c r="A2805" s="8"/>
      <c r="B2805" s="8" t="str">
        <f t="shared" si="46"/>
        <v/>
      </c>
    </row>
    <row r="2806" spans="1:2" x14ac:dyDescent="0.25">
      <c r="A2806" s="8"/>
      <c r="B2806" s="8" t="str">
        <f t="shared" si="46"/>
        <v/>
      </c>
    </row>
    <row r="2807" spans="1:2" x14ac:dyDescent="0.25">
      <c r="A2807" s="8"/>
      <c r="B2807" s="8" t="str">
        <f t="shared" si="46"/>
        <v/>
      </c>
    </row>
    <row r="2808" spans="1:2" x14ac:dyDescent="0.25">
      <c r="A2808" s="8"/>
      <c r="B2808" s="8" t="str">
        <f t="shared" si="46"/>
        <v/>
      </c>
    </row>
    <row r="2809" spans="1:2" x14ac:dyDescent="0.25">
      <c r="A2809" s="8"/>
      <c r="B2809" s="8" t="str">
        <f t="shared" si="46"/>
        <v/>
      </c>
    </row>
    <row r="2810" spans="1:2" x14ac:dyDescent="0.25">
      <c r="A2810" s="8"/>
      <c r="B2810" s="8" t="str">
        <f t="shared" si="46"/>
        <v/>
      </c>
    </row>
    <row r="2811" spans="1:2" x14ac:dyDescent="0.25">
      <c r="A2811" s="8"/>
      <c r="B2811" s="8" t="str">
        <f t="shared" si="46"/>
        <v/>
      </c>
    </row>
    <row r="2812" spans="1:2" x14ac:dyDescent="0.25">
      <c r="A2812" s="8"/>
      <c r="B2812" s="8" t="str">
        <f t="shared" si="46"/>
        <v/>
      </c>
    </row>
    <row r="2813" spans="1:2" x14ac:dyDescent="0.25">
      <c r="A2813" s="8"/>
      <c r="B2813" s="8" t="str">
        <f t="shared" si="46"/>
        <v/>
      </c>
    </row>
    <row r="2814" spans="1:2" x14ac:dyDescent="0.25">
      <c r="A2814" s="8"/>
      <c r="B2814" s="8" t="str">
        <f t="shared" si="46"/>
        <v/>
      </c>
    </row>
    <row r="2815" spans="1:2" x14ac:dyDescent="0.25">
      <c r="A2815" s="8"/>
      <c r="B2815" s="8" t="str">
        <f t="shared" si="46"/>
        <v/>
      </c>
    </row>
    <row r="2816" spans="1:2" x14ac:dyDescent="0.25">
      <c r="A2816" s="8"/>
      <c r="B2816" s="8" t="str">
        <f t="shared" si="46"/>
        <v/>
      </c>
    </row>
    <row r="2817" spans="1:2" x14ac:dyDescent="0.25">
      <c r="A2817" s="8"/>
      <c r="B2817" s="8" t="str">
        <f t="shared" si="46"/>
        <v/>
      </c>
    </row>
    <row r="2818" spans="1:2" x14ac:dyDescent="0.25">
      <c r="A2818" s="8"/>
      <c r="B2818" s="8" t="str">
        <f t="shared" si="46"/>
        <v/>
      </c>
    </row>
    <row r="2819" spans="1:2" x14ac:dyDescent="0.25">
      <c r="A2819" s="8"/>
      <c r="B2819" s="8" t="str">
        <f t="shared" si="46"/>
        <v/>
      </c>
    </row>
    <row r="2820" spans="1:2" x14ac:dyDescent="0.25">
      <c r="A2820" s="8"/>
      <c r="B2820" s="8" t="str">
        <f t="shared" ref="B2820:B2883" si="47">IF(A2820=0,"",41824+(ROUNDUP(DAYS360(41824,A2820)/7,0)*7))</f>
        <v/>
      </c>
    </row>
    <row r="2821" spans="1:2" x14ac:dyDescent="0.25">
      <c r="A2821" s="8"/>
      <c r="B2821" s="8" t="str">
        <f t="shared" si="47"/>
        <v/>
      </c>
    </row>
    <row r="2822" spans="1:2" x14ac:dyDescent="0.25">
      <c r="A2822" s="8"/>
      <c r="B2822" s="8" t="str">
        <f t="shared" si="47"/>
        <v/>
      </c>
    </row>
    <row r="2823" spans="1:2" x14ac:dyDescent="0.25">
      <c r="A2823" s="8"/>
      <c r="B2823" s="8" t="str">
        <f t="shared" si="47"/>
        <v/>
      </c>
    </row>
    <row r="2824" spans="1:2" x14ac:dyDescent="0.25">
      <c r="A2824" s="8"/>
      <c r="B2824" s="8" t="str">
        <f t="shared" si="47"/>
        <v/>
      </c>
    </row>
    <row r="2825" spans="1:2" x14ac:dyDescent="0.25">
      <c r="A2825" s="8"/>
      <c r="B2825" s="8" t="str">
        <f t="shared" si="47"/>
        <v/>
      </c>
    </row>
    <row r="2826" spans="1:2" x14ac:dyDescent="0.25">
      <c r="A2826" s="8"/>
      <c r="B2826" s="8" t="str">
        <f t="shared" si="47"/>
        <v/>
      </c>
    </row>
    <row r="2827" spans="1:2" x14ac:dyDescent="0.25">
      <c r="A2827" s="8"/>
      <c r="B2827" s="8" t="str">
        <f t="shared" si="47"/>
        <v/>
      </c>
    </row>
    <row r="2828" spans="1:2" x14ac:dyDescent="0.25">
      <c r="A2828" s="8"/>
      <c r="B2828" s="8" t="str">
        <f t="shared" si="47"/>
        <v/>
      </c>
    </row>
    <row r="2829" spans="1:2" x14ac:dyDescent="0.25">
      <c r="A2829" s="8"/>
      <c r="B2829" s="8" t="str">
        <f t="shared" si="47"/>
        <v/>
      </c>
    </row>
    <row r="2830" spans="1:2" x14ac:dyDescent="0.25">
      <c r="A2830" s="8"/>
      <c r="B2830" s="8" t="str">
        <f t="shared" si="47"/>
        <v/>
      </c>
    </row>
    <row r="2831" spans="1:2" x14ac:dyDescent="0.25">
      <c r="A2831" s="8"/>
      <c r="B2831" s="8" t="str">
        <f t="shared" si="47"/>
        <v/>
      </c>
    </row>
    <row r="2832" spans="1:2" x14ac:dyDescent="0.25">
      <c r="A2832" s="8"/>
      <c r="B2832" s="8" t="str">
        <f t="shared" si="47"/>
        <v/>
      </c>
    </row>
    <row r="2833" spans="1:2" x14ac:dyDescent="0.25">
      <c r="A2833" s="8"/>
      <c r="B2833" s="8" t="str">
        <f t="shared" si="47"/>
        <v/>
      </c>
    </row>
    <row r="2834" spans="1:2" x14ac:dyDescent="0.25">
      <c r="A2834" s="8"/>
      <c r="B2834" s="8" t="str">
        <f t="shared" si="47"/>
        <v/>
      </c>
    </row>
    <row r="2835" spans="1:2" x14ac:dyDescent="0.25">
      <c r="A2835" s="8"/>
      <c r="B2835" s="8" t="str">
        <f t="shared" si="47"/>
        <v/>
      </c>
    </row>
    <row r="2836" spans="1:2" x14ac:dyDescent="0.25">
      <c r="A2836" s="8"/>
      <c r="B2836" s="8" t="str">
        <f t="shared" si="47"/>
        <v/>
      </c>
    </row>
    <row r="2837" spans="1:2" x14ac:dyDescent="0.25">
      <c r="A2837" s="8"/>
      <c r="B2837" s="8" t="str">
        <f t="shared" si="47"/>
        <v/>
      </c>
    </row>
    <row r="2838" spans="1:2" x14ac:dyDescent="0.25">
      <c r="A2838" s="8"/>
      <c r="B2838" s="8" t="str">
        <f t="shared" si="47"/>
        <v/>
      </c>
    </row>
    <row r="2839" spans="1:2" x14ac:dyDescent="0.25">
      <c r="A2839" s="8"/>
      <c r="B2839" s="8" t="str">
        <f t="shared" si="47"/>
        <v/>
      </c>
    </row>
    <row r="2840" spans="1:2" x14ac:dyDescent="0.25">
      <c r="A2840" s="8"/>
      <c r="B2840" s="8" t="str">
        <f t="shared" si="47"/>
        <v/>
      </c>
    </row>
    <row r="2841" spans="1:2" x14ac:dyDescent="0.25">
      <c r="A2841" s="8"/>
      <c r="B2841" s="8" t="str">
        <f t="shared" si="47"/>
        <v/>
      </c>
    </row>
    <row r="2842" spans="1:2" x14ac:dyDescent="0.25">
      <c r="A2842" s="8"/>
      <c r="B2842" s="8" t="str">
        <f t="shared" si="47"/>
        <v/>
      </c>
    </row>
    <row r="2843" spans="1:2" x14ac:dyDescent="0.25">
      <c r="A2843" s="8"/>
      <c r="B2843" s="8" t="str">
        <f t="shared" si="47"/>
        <v/>
      </c>
    </row>
    <row r="2844" spans="1:2" x14ac:dyDescent="0.25">
      <c r="A2844" s="8"/>
      <c r="B2844" s="8" t="str">
        <f t="shared" si="47"/>
        <v/>
      </c>
    </row>
    <row r="2845" spans="1:2" x14ac:dyDescent="0.25">
      <c r="A2845" s="8"/>
      <c r="B2845" s="8" t="str">
        <f t="shared" si="47"/>
        <v/>
      </c>
    </row>
    <row r="2846" spans="1:2" x14ac:dyDescent="0.25">
      <c r="A2846" s="8"/>
      <c r="B2846" s="8" t="str">
        <f t="shared" si="47"/>
        <v/>
      </c>
    </row>
    <row r="2847" spans="1:2" x14ac:dyDescent="0.25">
      <c r="A2847" s="8"/>
      <c r="B2847" s="8" t="str">
        <f t="shared" si="47"/>
        <v/>
      </c>
    </row>
    <row r="2848" spans="1:2" x14ac:dyDescent="0.25">
      <c r="A2848" s="8"/>
      <c r="B2848" s="8" t="str">
        <f t="shared" si="47"/>
        <v/>
      </c>
    </row>
    <row r="2849" spans="1:2" x14ac:dyDescent="0.25">
      <c r="A2849" s="8"/>
      <c r="B2849" s="8" t="str">
        <f t="shared" si="47"/>
        <v/>
      </c>
    </row>
    <row r="2850" spans="1:2" x14ac:dyDescent="0.25">
      <c r="A2850" s="8"/>
      <c r="B2850" s="8" t="str">
        <f t="shared" si="47"/>
        <v/>
      </c>
    </row>
    <row r="2851" spans="1:2" x14ac:dyDescent="0.25">
      <c r="A2851" s="8"/>
      <c r="B2851" s="8" t="str">
        <f t="shared" si="47"/>
        <v/>
      </c>
    </row>
    <row r="2852" spans="1:2" x14ac:dyDescent="0.25">
      <c r="A2852" s="8"/>
      <c r="B2852" s="8" t="str">
        <f t="shared" si="47"/>
        <v/>
      </c>
    </row>
    <row r="2853" spans="1:2" x14ac:dyDescent="0.25">
      <c r="A2853" s="8"/>
      <c r="B2853" s="8" t="str">
        <f t="shared" si="47"/>
        <v/>
      </c>
    </row>
    <row r="2854" spans="1:2" x14ac:dyDescent="0.25">
      <c r="A2854" s="8"/>
      <c r="B2854" s="8" t="str">
        <f t="shared" si="47"/>
        <v/>
      </c>
    </row>
    <row r="2855" spans="1:2" x14ac:dyDescent="0.25">
      <c r="A2855" s="8"/>
      <c r="B2855" s="8" t="str">
        <f t="shared" si="47"/>
        <v/>
      </c>
    </row>
    <row r="2856" spans="1:2" x14ac:dyDescent="0.25">
      <c r="A2856" s="8"/>
      <c r="B2856" s="8" t="str">
        <f t="shared" si="47"/>
        <v/>
      </c>
    </row>
    <row r="2857" spans="1:2" x14ac:dyDescent="0.25">
      <c r="A2857" s="8"/>
      <c r="B2857" s="8" t="str">
        <f t="shared" si="47"/>
        <v/>
      </c>
    </row>
    <row r="2858" spans="1:2" x14ac:dyDescent="0.25">
      <c r="A2858" s="8"/>
      <c r="B2858" s="8" t="str">
        <f t="shared" si="47"/>
        <v/>
      </c>
    </row>
    <row r="2859" spans="1:2" x14ac:dyDescent="0.25">
      <c r="A2859" s="8"/>
      <c r="B2859" s="8" t="str">
        <f t="shared" si="47"/>
        <v/>
      </c>
    </row>
    <row r="2860" spans="1:2" x14ac:dyDescent="0.25">
      <c r="A2860" s="8"/>
      <c r="B2860" s="8" t="str">
        <f t="shared" si="47"/>
        <v/>
      </c>
    </row>
    <row r="2861" spans="1:2" x14ac:dyDescent="0.25">
      <c r="A2861" s="8"/>
      <c r="B2861" s="8" t="str">
        <f t="shared" si="47"/>
        <v/>
      </c>
    </row>
    <row r="2862" spans="1:2" x14ac:dyDescent="0.25">
      <c r="A2862" s="8"/>
      <c r="B2862" s="8" t="str">
        <f t="shared" si="47"/>
        <v/>
      </c>
    </row>
    <row r="2863" spans="1:2" x14ac:dyDescent="0.25">
      <c r="A2863" s="8"/>
      <c r="B2863" s="8" t="str">
        <f t="shared" si="47"/>
        <v/>
      </c>
    </row>
    <row r="2864" spans="1:2" x14ac:dyDescent="0.25">
      <c r="A2864" s="8"/>
      <c r="B2864" s="8" t="str">
        <f t="shared" si="47"/>
        <v/>
      </c>
    </row>
    <row r="2865" spans="1:2" x14ac:dyDescent="0.25">
      <c r="A2865" s="8"/>
      <c r="B2865" s="8" t="str">
        <f t="shared" si="47"/>
        <v/>
      </c>
    </row>
    <row r="2866" spans="1:2" x14ac:dyDescent="0.25">
      <c r="A2866" s="8"/>
      <c r="B2866" s="8" t="str">
        <f t="shared" si="47"/>
        <v/>
      </c>
    </row>
    <row r="2867" spans="1:2" x14ac:dyDescent="0.25">
      <c r="A2867" s="8"/>
      <c r="B2867" s="8" t="str">
        <f t="shared" si="47"/>
        <v/>
      </c>
    </row>
    <row r="2868" spans="1:2" x14ac:dyDescent="0.25">
      <c r="A2868" s="8"/>
      <c r="B2868" s="8" t="str">
        <f t="shared" si="47"/>
        <v/>
      </c>
    </row>
    <row r="2869" spans="1:2" x14ac:dyDescent="0.25">
      <c r="A2869" s="8"/>
      <c r="B2869" s="8" t="str">
        <f t="shared" si="47"/>
        <v/>
      </c>
    </row>
    <row r="2870" spans="1:2" x14ac:dyDescent="0.25">
      <c r="A2870" s="8"/>
      <c r="B2870" s="8" t="str">
        <f t="shared" si="47"/>
        <v/>
      </c>
    </row>
    <row r="2871" spans="1:2" x14ac:dyDescent="0.25">
      <c r="A2871" s="8"/>
      <c r="B2871" s="8" t="str">
        <f t="shared" si="47"/>
        <v/>
      </c>
    </row>
    <row r="2872" spans="1:2" x14ac:dyDescent="0.25">
      <c r="A2872" s="8"/>
      <c r="B2872" s="8" t="str">
        <f t="shared" si="47"/>
        <v/>
      </c>
    </row>
    <row r="2873" spans="1:2" x14ac:dyDescent="0.25">
      <c r="A2873" s="8"/>
      <c r="B2873" s="8" t="str">
        <f t="shared" si="47"/>
        <v/>
      </c>
    </row>
    <row r="2874" spans="1:2" x14ac:dyDescent="0.25">
      <c r="A2874" s="8"/>
      <c r="B2874" s="8" t="str">
        <f t="shared" si="47"/>
        <v/>
      </c>
    </row>
    <row r="2875" spans="1:2" x14ac:dyDescent="0.25">
      <c r="A2875" s="8"/>
      <c r="B2875" s="8" t="str">
        <f t="shared" si="47"/>
        <v/>
      </c>
    </row>
    <row r="2876" spans="1:2" x14ac:dyDescent="0.25">
      <c r="A2876" s="8"/>
      <c r="B2876" s="8" t="str">
        <f t="shared" si="47"/>
        <v/>
      </c>
    </row>
    <row r="2877" spans="1:2" x14ac:dyDescent="0.25">
      <c r="A2877" s="8"/>
      <c r="B2877" s="8" t="str">
        <f t="shared" si="47"/>
        <v/>
      </c>
    </row>
    <row r="2878" spans="1:2" x14ac:dyDescent="0.25">
      <c r="A2878" s="8"/>
      <c r="B2878" s="8" t="str">
        <f t="shared" si="47"/>
        <v/>
      </c>
    </row>
    <row r="2879" spans="1:2" x14ac:dyDescent="0.25">
      <c r="A2879" s="8"/>
      <c r="B2879" s="8" t="str">
        <f t="shared" si="47"/>
        <v/>
      </c>
    </row>
    <row r="2880" spans="1:2" x14ac:dyDescent="0.25">
      <c r="A2880" s="8"/>
      <c r="B2880" s="8" t="str">
        <f t="shared" si="47"/>
        <v/>
      </c>
    </row>
    <row r="2881" spans="1:2" x14ac:dyDescent="0.25">
      <c r="A2881" s="8"/>
      <c r="B2881" s="8" t="str">
        <f t="shared" si="47"/>
        <v/>
      </c>
    </row>
    <row r="2882" spans="1:2" x14ac:dyDescent="0.25">
      <c r="A2882" s="8"/>
      <c r="B2882" s="8" t="str">
        <f t="shared" si="47"/>
        <v/>
      </c>
    </row>
    <row r="2883" spans="1:2" x14ac:dyDescent="0.25">
      <c r="A2883" s="8"/>
      <c r="B2883" s="8" t="str">
        <f t="shared" si="47"/>
        <v/>
      </c>
    </row>
    <row r="2884" spans="1:2" x14ac:dyDescent="0.25">
      <c r="A2884" s="8"/>
      <c r="B2884" s="8" t="str">
        <f t="shared" ref="B2884:B2947" si="48">IF(A2884=0,"",41824+(ROUNDUP(DAYS360(41824,A2884)/7,0)*7))</f>
        <v/>
      </c>
    </row>
    <row r="2885" spans="1:2" x14ac:dyDescent="0.25">
      <c r="A2885" s="8"/>
      <c r="B2885" s="8" t="str">
        <f t="shared" si="48"/>
        <v/>
      </c>
    </row>
    <row r="2886" spans="1:2" x14ac:dyDescent="0.25">
      <c r="A2886" s="8"/>
      <c r="B2886" s="8" t="str">
        <f t="shared" si="48"/>
        <v/>
      </c>
    </row>
    <row r="2887" spans="1:2" x14ac:dyDescent="0.25">
      <c r="A2887" s="8"/>
      <c r="B2887" s="8" t="str">
        <f t="shared" si="48"/>
        <v/>
      </c>
    </row>
    <row r="2888" spans="1:2" x14ac:dyDescent="0.25">
      <c r="A2888" s="8"/>
      <c r="B2888" s="8" t="str">
        <f t="shared" si="48"/>
        <v/>
      </c>
    </row>
    <row r="2889" spans="1:2" x14ac:dyDescent="0.25">
      <c r="A2889" s="8"/>
      <c r="B2889" s="8" t="str">
        <f t="shared" si="48"/>
        <v/>
      </c>
    </row>
    <row r="2890" spans="1:2" x14ac:dyDescent="0.25">
      <c r="A2890" s="8"/>
      <c r="B2890" s="8" t="str">
        <f t="shared" si="48"/>
        <v/>
      </c>
    </row>
    <row r="2891" spans="1:2" x14ac:dyDescent="0.25">
      <c r="A2891" s="8"/>
      <c r="B2891" s="8" t="str">
        <f t="shared" si="48"/>
        <v/>
      </c>
    </row>
    <row r="2892" spans="1:2" x14ac:dyDescent="0.25">
      <c r="A2892" s="8"/>
      <c r="B2892" s="8" t="str">
        <f t="shared" si="48"/>
        <v/>
      </c>
    </row>
    <row r="2893" spans="1:2" x14ac:dyDescent="0.25">
      <c r="A2893" s="8"/>
      <c r="B2893" s="8" t="str">
        <f t="shared" si="48"/>
        <v/>
      </c>
    </row>
    <row r="2894" spans="1:2" x14ac:dyDescent="0.25">
      <c r="A2894" s="8"/>
      <c r="B2894" s="8" t="str">
        <f t="shared" si="48"/>
        <v/>
      </c>
    </row>
    <row r="2895" spans="1:2" x14ac:dyDescent="0.25">
      <c r="A2895" s="8"/>
      <c r="B2895" s="8" t="str">
        <f t="shared" si="48"/>
        <v/>
      </c>
    </row>
    <row r="2896" spans="1:2" x14ac:dyDescent="0.25">
      <c r="A2896" s="8"/>
      <c r="B2896" s="8" t="str">
        <f t="shared" si="48"/>
        <v/>
      </c>
    </row>
    <row r="2897" spans="1:2" x14ac:dyDescent="0.25">
      <c r="A2897" s="8"/>
      <c r="B2897" s="8" t="str">
        <f t="shared" si="48"/>
        <v/>
      </c>
    </row>
    <row r="2898" spans="1:2" x14ac:dyDescent="0.25">
      <c r="A2898" s="8"/>
      <c r="B2898" s="8" t="str">
        <f t="shared" si="48"/>
        <v/>
      </c>
    </row>
    <row r="2899" spans="1:2" x14ac:dyDescent="0.25">
      <c r="A2899" s="8"/>
      <c r="B2899" s="8" t="str">
        <f t="shared" si="48"/>
        <v/>
      </c>
    </row>
    <row r="2900" spans="1:2" x14ac:dyDescent="0.25">
      <c r="A2900" s="8"/>
      <c r="B2900" s="8" t="str">
        <f t="shared" si="48"/>
        <v/>
      </c>
    </row>
    <row r="2901" spans="1:2" x14ac:dyDescent="0.25">
      <c r="A2901" s="8"/>
      <c r="B2901" s="8" t="str">
        <f t="shared" si="48"/>
        <v/>
      </c>
    </row>
    <row r="2902" spans="1:2" x14ac:dyDescent="0.25">
      <c r="A2902" s="8"/>
      <c r="B2902" s="8" t="str">
        <f t="shared" si="48"/>
        <v/>
      </c>
    </row>
    <row r="2903" spans="1:2" x14ac:dyDescent="0.25">
      <c r="A2903" s="8"/>
      <c r="B2903" s="8" t="str">
        <f t="shared" si="48"/>
        <v/>
      </c>
    </row>
    <row r="2904" spans="1:2" x14ac:dyDescent="0.25">
      <c r="A2904" s="8"/>
      <c r="B2904" s="8" t="str">
        <f t="shared" si="48"/>
        <v/>
      </c>
    </row>
    <row r="2905" spans="1:2" x14ac:dyDescent="0.25">
      <c r="A2905" s="8"/>
      <c r="B2905" s="8" t="str">
        <f t="shared" si="48"/>
        <v/>
      </c>
    </row>
    <row r="2906" spans="1:2" x14ac:dyDescent="0.25">
      <c r="A2906" s="8"/>
      <c r="B2906" s="8" t="str">
        <f t="shared" si="48"/>
        <v/>
      </c>
    </row>
    <row r="2907" spans="1:2" x14ac:dyDescent="0.25">
      <c r="A2907" s="8"/>
      <c r="B2907" s="8" t="str">
        <f t="shared" si="48"/>
        <v/>
      </c>
    </row>
    <row r="2908" spans="1:2" x14ac:dyDescent="0.25">
      <c r="A2908" s="8"/>
      <c r="B2908" s="8" t="str">
        <f t="shared" si="48"/>
        <v/>
      </c>
    </row>
    <row r="2909" spans="1:2" x14ac:dyDescent="0.25">
      <c r="A2909" s="8"/>
      <c r="B2909" s="8" t="str">
        <f t="shared" si="48"/>
        <v/>
      </c>
    </row>
    <row r="2910" spans="1:2" x14ac:dyDescent="0.25">
      <c r="A2910" s="8"/>
      <c r="B2910" s="8" t="str">
        <f t="shared" si="48"/>
        <v/>
      </c>
    </row>
    <row r="2911" spans="1:2" x14ac:dyDescent="0.25">
      <c r="A2911" s="8"/>
      <c r="B2911" s="8" t="str">
        <f t="shared" si="48"/>
        <v/>
      </c>
    </row>
    <row r="2912" spans="1:2" x14ac:dyDescent="0.25">
      <c r="A2912" s="8"/>
      <c r="B2912" s="8" t="str">
        <f t="shared" si="48"/>
        <v/>
      </c>
    </row>
    <row r="2913" spans="1:2" x14ac:dyDescent="0.25">
      <c r="A2913" s="8"/>
      <c r="B2913" s="8" t="str">
        <f t="shared" si="48"/>
        <v/>
      </c>
    </row>
    <row r="2914" spans="1:2" x14ac:dyDescent="0.25">
      <c r="A2914" s="8"/>
      <c r="B2914" s="8" t="str">
        <f t="shared" si="48"/>
        <v/>
      </c>
    </row>
    <row r="2915" spans="1:2" x14ac:dyDescent="0.25">
      <c r="A2915" s="8"/>
      <c r="B2915" s="8" t="str">
        <f t="shared" si="48"/>
        <v/>
      </c>
    </row>
    <row r="2916" spans="1:2" x14ac:dyDescent="0.25">
      <c r="A2916" s="8"/>
      <c r="B2916" s="8" t="str">
        <f t="shared" si="48"/>
        <v/>
      </c>
    </row>
    <row r="2917" spans="1:2" x14ac:dyDescent="0.25">
      <c r="A2917" s="8"/>
      <c r="B2917" s="8" t="str">
        <f t="shared" si="48"/>
        <v/>
      </c>
    </row>
    <row r="2918" spans="1:2" x14ac:dyDescent="0.25">
      <c r="A2918" s="8"/>
      <c r="B2918" s="8" t="str">
        <f t="shared" si="48"/>
        <v/>
      </c>
    </row>
    <row r="2919" spans="1:2" x14ac:dyDescent="0.25">
      <c r="A2919" s="8"/>
      <c r="B2919" s="8" t="str">
        <f t="shared" si="48"/>
        <v/>
      </c>
    </row>
    <row r="2920" spans="1:2" x14ac:dyDescent="0.25">
      <c r="A2920" s="8"/>
      <c r="B2920" s="8" t="str">
        <f t="shared" si="48"/>
        <v/>
      </c>
    </row>
    <row r="2921" spans="1:2" x14ac:dyDescent="0.25">
      <c r="A2921" s="8"/>
      <c r="B2921" s="8" t="str">
        <f t="shared" si="48"/>
        <v/>
      </c>
    </row>
    <row r="2922" spans="1:2" x14ac:dyDescent="0.25">
      <c r="A2922" s="8"/>
      <c r="B2922" s="8" t="str">
        <f t="shared" si="48"/>
        <v/>
      </c>
    </row>
    <row r="2923" spans="1:2" x14ac:dyDescent="0.25">
      <c r="A2923" s="8"/>
      <c r="B2923" s="8" t="str">
        <f t="shared" si="48"/>
        <v/>
      </c>
    </row>
    <row r="2924" spans="1:2" x14ac:dyDescent="0.25">
      <c r="A2924" s="8"/>
      <c r="B2924" s="8" t="str">
        <f t="shared" si="48"/>
        <v/>
      </c>
    </row>
    <row r="2925" spans="1:2" x14ac:dyDescent="0.25">
      <c r="A2925" s="8"/>
      <c r="B2925" s="8" t="str">
        <f t="shared" si="48"/>
        <v/>
      </c>
    </row>
    <row r="2926" spans="1:2" x14ac:dyDescent="0.25">
      <c r="A2926" s="8"/>
      <c r="B2926" s="8" t="str">
        <f t="shared" si="48"/>
        <v/>
      </c>
    </row>
    <row r="2927" spans="1:2" x14ac:dyDescent="0.25">
      <c r="A2927" s="8"/>
      <c r="B2927" s="8" t="str">
        <f t="shared" si="48"/>
        <v/>
      </c>
    </row>
    <row r="2928" spans="1:2" x14ac:dyDescent="0.25">
      <c r="A2928" s="8"/>
      <c r="B2928" s="8" t="str">
        <f t="shared" si="48"/>
        <v/>
      </c>
    </row>
    <row r="2929" spans="1:2" x14ac:dyDescent="0.25">
      <c r="A2929" s="8"/>
      <c r="B2929" s="8" t="str">
        <f t="shared" si="48"/>
        <v/>
      </c>
    </row>
    <row r="2930" spans="1:2" x14ac:dyDescent="0.25">
      <c r="A2930" s="8"/>
      <c r="B2930" s="8" t="str">
        <f t="shared" si="48"/>
        <v/>
      </c>
    </row>
    <row r="2931" spans="1:2" x14ac:dyDescent="0.25">
      <c r="A2931" s="8"/>
      <c r="B2931" s="8" t="str">
        <f t="shared" si="48"/>
        <v/>
      </c>
    </row>
    <row r="2932" spans="1:2" x14ac:dyDescent="0.25">
      <c r="A2932" s="8"/>
      <c r="B2932" s="8" t="str">
        <f t="shared" si="48"/>
        <v/>
      </c>
    </row>
    <row r="2933" spans="1:2" x14ac:dyDescent="0.25">
      <c r="A2933" s="8"/>
      <c r="B2933" s="8" t="str">
        <f t="shared" si="48"/>
        <v/>
      </c>
    </row>
    <row r="2934" spans="1:2" x14ac:dyDescent="0.25">
      <c r="A2934" s="8"/>
      <c r="B2934" s="8" t="str">
        <f t="shared" si="48"/>
        <v/>
      </c>
    </row>
    <row r="2935" spans="1:2" x14ac:dyDescent="0.25">
      <c r="A2935" s="8"/>
      <c r="B2935" s="8" t="str">
        <f t="shared" si="48"/>
        <v/>
      </c>
    </row>
    <row r="2936" spans="1:2" x14ac:dyDescent="0.25">
      <c r="A2936" s="8"/>
      <c r="B2936" s="8" t="str">
        <f t="shared" si="48"/>
        <v/>
      </c>
    </row>
    <row r="2937" spans="1:2" x14ac:dyDescent="0.25">
      <c r="A2937" s="8"/>
      <c r="B2937" s="8" t="str">
        <f t="shared" si="48"/>
        <v/>
      </c>
    </row>
    <row r="2938" spans="1:2" x14ac:dyDescent="0.25">
      <c r="A2938" s="8"/>
      <c r="B2938" s="8" t="str">
        <f t="shared" si="48"/>
        <v/>
      </c>
    </row>
    <row r="2939" spans="1:2" x14ac:dyDescent="0.25">
      <c r="A2939" s="8"/>
      <c r="B2939" s="8" t="str">
        <f t="shared" si="48"/>
        <v/>
      </c>
    </row>
    <row r="2940" spans="1:2" x14ac:dyDescent="0.25">
      <c r="A2940" s="8"/>
      <c r="B2940" s="8" t="str">
        <f t="shared" si="48"/>
        <v/>
      </c>
    </row>
    <row r="2941" spans="1:2" x14ac:dyDescent="0.25">
      <c r="A2941" s="8"/>
      <c r="B2941" s="8" t="str">
        <f t="shared" si="48"/>
        <v/>
      </c>
    </row>
    <row r="2942" spans="1:2" x14ac:dyDescent="0.25">
      <c r="A2942" s="8"/>
      <c r="B2942" s="8" t="str">
        <f t="shared" si="48"/>
        <v/>
      </c>
    </row>
    <row r="2943" spans="1:2" x14ac:dyDescent="0.25">
      <c r="A2943" s="8"/>
      <c r="B2943" s="8" t="str">
        <f t="shared" si="48"/>
        <v/>
      </c>
    </row>
    <row r="2944" spans="1:2" x14ac:dyDescent="0.25">
      <c r="A2944" s="8"/>
      <c r="B2944" s="8" t="str">
        <f t="shared" si="48"/>
        <v/>
      </c>
    </row>
    <row r="2945" spans="1:2" x14ac:dyDescent="0.25">
      <c r="A2945" s="8"/>
      <c r="B2945" s="8" t="str">
        <f t="shared" si="48"/>
        <v/>
      </c>
    </row>
    <row r="2946" spans="1:2" x14ac:dyDescent="0.25">
      <c r="A2946" s="8"/>
      <c r="B2946" s="8" t="str">
        <f t="shared" si="48"/>
        <v/>
      </c>
    </row>
    <row r="2947" spans="1:2" x14ac:dyDescent="0.25">
      <c r="A2947" s="8"/>
      <c r="B2947" s="8" t="str">
        <f t="shared" si="48"/>
        <v/>
      </c>
    </row>
    <row r="2948" spans="1:2" x14ac:dyDescent="0.25">
      <c r="A2948" s="8"/>
      <c r="B2948" s="8" t="str">
        <f t="shared" ref="B2948:B3011" si="49">IF(A2948=0,"",41824+(ROUNDUP(DAYS360(41824,A2948)/7,0)*7))</f>
        <v/>
      </c>
    </row>
    <row r="2949" spans="1:2" x14ac:dyDescent="0.25">
      <c r="A2949" s="8"/>
      <c r="B2949" s="8" t="str">
        <f t="shared" si="49"/>
        <v/>
      </c>
    </row>
    <row r="2950" spans="1:2" x14ac:dyDescent="0.25">
      <c r="A2950" s="8"/>
      <c r="B2950" s="8" t="str">
        <f t="shared" si="49"/>
        <v/>
      </c>
    </row>
    <row r="2951" spans="1:2" x14ac:dyDescent="0.25">
      <c r="A2951" s="8"/>
      <c r="B2951" s="8" t="str">
        <f t="shared" si="49"/>
        <v/>
      </c>
    </row>
    <row r="2952" spans="1:2" x14ac:dyDescent="0.25">
      <c r="A2952" s="8"/>
      <c r="B2952" s="8" t="str">
        <f t="shared" si="49"/>
        <v/>
      </c>
    </row>
    <row r="2953" spans="1:2" x14ac:dyDescent="0.25">
      <c r="A2953" s="8"/>
      <c r="B2953" s="8" t="str">
        <f t="shared" si="49"/>
        <v/>
      </c>
    </row>
    <row r="2954" spans="1:2" x14ac:dyDescent="0.25">
      <c r="A2954" s="8"/>
      <c r="B2954" s="8" t="str">
        <f t="shared" si="49"/>
        <v/>
      </c>
    </row>
    <row r="2955" spans="1:2" x14ac:dyDescent="0.25">
      <c r="A2955" s="8"/>
      <c r="B2955" s="8" t="str">
        <f t="shared" si="49"/>
        <v/>
      </c>
    </row>
    <row r="2956" spans="1:2" x14ac:dyDescent="0.25">
      <c r="A2956" s="8"/>
      <c r="B2956" s="8" t="str">
        <f t="shared" si="49"/>
        <v/>
      </c>
    </row>
    <row r="2957" spans="1:2" x14ac:dyDescent="0.25">
      <c r="A2957" s="8"/>
      <c r="B2957" s="8" t="str">
        <f t="shared" si="49"/>
        <v/>
      </c>
    </row>
    <row r="2958" spans="1:2" x14ac:dyDescent="0.25">
      <c r="A2958" s="8"/>
      <c r="B2958" s="8" t="str">
        <f t="shared" si="49"/>
        <v/>
      </c>
    </row>
    <row r="2959" spans="1:2" x14ac:dyDescent="0.25">
      <c r="A2959" s="8"/>
      <c r="B2959" s="8" t="str">
        <f t="shared" si="49"/>
        <v/>
      </c>
    </row>
    <row r="2960" spans="1:2" x14ac:dyDescent="0.25">
      <c r="A2960" s="8"/>
      <c r="B2960" s="8" t="str">
        <f t="shared" si="49"/>
        <v/>
      </c>
    </row>
    <row r="2961" spans="1:2" x14ac:dyDescent="0.25">
      <c r="A2961" s="8"/>
      <c r="B2961" s="8" t="str">
        <f t="shared" si="49"/>
        <v/>
      </c>
    </row>
    <row r="2962" spans="1:2" x14ac:dyDescent="0.25">
      <c r="A2962" s="8"/>
      <c r="B2962" s="8" t="str">
        <f t="shared" si="49"/>
        <v/>
      </c>
    </row>
    <row r="2963" spans="1:2" x14ac:dyDescent="0.25">
      <c r="A2963" s="8"/>
      <c r="B2963" s="8" t="str">
        <f t="shared" si="49"/>
        <v/>
      </c>
    </row>
    <row r="2964" spans="1:2" x14ac:dyDescent="0.25">
      <c r="A2964" s="8"/>
      <c r="B2964" s="8" t="str">
        <f t="shared" si="49"/>
        <v/>
      </c>
    </row>
    <row r="2965" spans="1:2" x14ac:dyDescent="0.25">
      <c r="A2965" s="8"/>
      <c r="B2965" s="8" t="str">
        <f t="shared" si="49"/>
        <v/>
      </c>
    </row>
    <row r="2966" spans="1:2" x14ac:dyDescent="0.25">
      <c r="A2966" s="8"/>
      <c r="B2966" s="8" t="str">
        <f t="shared" si="49"/>
        <v/>
      </c>
    </row>
    <row r="2967" spans="1:2" x14ac:dyDescent="0.25">
      <c r="A2967" s="8"/>
      <c r="B2967" s="8" t="str">
        <f t="shared" si="49"/>
        <v/>
      </c>
    </row>
    <row r="2968" spans="1:2" x14ac:dyDescent="0.25">
      <c r="A2968" s="8"/>
      <c r="B2968" s="8" t="str">
        <f t="shared" si="49"/>
        <v/>
      </c>
    </row>
    <row r="2969" spans="1:2" x14ac:dyDescent="0.25">
      <c r="A2969" s="8"/>
      <c r="B2969" s="8" t="str">
        <f t="shared" si="49"/>
        <v/>
      </c>
    </row>
    <row r="2970" spans="1:2" x14ac:dyDescent="0.25">
      <c r="A2970" s="8"/>
      <c r="B2970" s="8" t="str">
        <f t="shared" si="49"/>
        <v/>
      </c>
    </row>
    <row r="2971" spans="1:2" x14ac:dyDescent="0.25">
      <c r="A2971" s="8"/>
      <c r="B2971" s="8" t="str">
        <f t="shared" si="49"/>
        <v/>
      </c>
    </row>
    <row r="2972" spans="1:2" x14ac:dyDescent="0.25">
      <c r="A2972" s="8"/>
      <c r="B2972" s="8" t="str">
        <f t="shared" si="49"/>
        <v/>
      </c>
    </row>
    <row r="2973" spans="1:2" x14ac:dyDescent="0.25">
      <c r="A2973" s="8"/>
      <c r="B2973" s="8" t="str">
        <f t="shared" si="49"/>
        <v/>
      </c>
    </row>
    <row r="2974" spans="1:2" x14ac:dyDescent="0.25">
      <c r="A2974" s="8"/>
      <c r="B2974" s="8" t="str">
        <f t="shared" si="49"/>
        <v/>
      </c>
    </row>
    <row r="2975" spans="1:2" x14ac:dyDescent="0.25">
      <c r="A2975" s="8"/>
      <c r="B2975" s="8" t="str">
        <f t="shared" si="49"/>
        <v/>
      </c>
    </row>
    <row r="2976" spans="1:2" x14ac:dyDescent="0.25">
      <c r="A2976" s="8"/>
      <c r="B2976" s="8" t="str">
        <f t="shared" si="49"/>
        <v/>
      </c>
    </row>
    <row r="2977" spans="1:2" x14ac:dyDescent="0.25">
      <c r="A2977" s="8"/>
      <c r="B2977" s="8" t="str">
        <f t="shared" si="49"/>
        <v/>
      </c>
    </row>
    <row r="2978" spans="1:2" x14ac:dyDescent="0.25">
      <c r="A2978" s="8"/>
      <c r="B2978" s="8" t="str">
        <f t="shared" si="49"/>
        <v/>
      </c>
    </row>
    <row r="2979" spans="1:2" x14ac:dyDescent="0.25">
      <c r="A2979" s="8"/>
      <c r="B2979" s="8" t="str">
        <f t="shared" si="49"/>
        <v/>
      </c>
    </row>
    <row r="2980" spans="1:2" x14ac:dyDescent="0.25">
      <c r="A2980" s="8"/>
      <c r="B2980" s="8" t="str">
        <f t="shared" si="49"/>
        <v/>
      </c>
    </row>
    <row r="2981" spans="1:2" x14ac:dyDescent="0.25">
      <c r="A2981" s="8"/>
      <c r="B2981" s="8" t="str">
        <f t="shared" si="49"/>
        <v/>
      </c>
    </row>
    <row r="2982" spans="1:2" x14ac:dyDescent="0.25">
      <c r="A2982" s="8"/>
      <c r="B2982" s="8" t="str">
        <f t="shared" si="49"/>
        <v/>
      </c>
    </row>
    <row r="2983" spans="1:2" x14ac:dyDescent="0.25">
      <c r="A2983" s="8"/>
      <c r="B2983" s="8" t="str">
        <f t="shared" si="49"/>
        <v/>
      </c>
    </row>
    <row r="2984" spans="1:2" x14ac:dyDescent="0.25">
      <c r="A2984" s="8"/>
      <c r="B2984" s="8" t="str">
        <f t="shared" si="49"/>
        <v/>
      </c>
    </row>
    <row r="2985" spans="1:2" x14ac:dyDescent="0.25">
      <c r="A2985" s="8"/>
      <c r="B2985" s="8" t="str">
        <f t="shared" si="49"/>
        <v/>
      </c>
    </row>
    <row r="2986" spans="1:2" x14ac:dyDescent="0.25">
      <c r="A2986" s="8"/>
      <c r="B2986" s="8" t="str">
        <f t="shared" si="49"/>
        <v/>
      </c>
    </row>
    <row r="2987" spans="1:2" x14ac:dyDescent="0.25">
      <c r="A2987" s="8"/>
      <c r="B2987" s="8" t="str">
        <f t="shared" si="49"/>
        <v/>
      </c>
    </row>
    <row r="2988" spans="1:2" x14ac:dyDescent="0.25">
      <c r="A2988" s="8"/>
      <c r="B2988" s="8" t="str">
        <f t="shared" si="49"/>
        <v/>
      </c>
    </row>
    <row r="2989" spans="1:2" x14ac:dyDescent="0.25">
      <c r="A2989" s="8"/>
      <c r="B2989" s="8" t="str">
        <f t="shared" si="49"/>
        <v/>
      </c>
    </row>
    <row r="2990" spans="1:2" x14ac:dyDescent="0.25">
      <c r="A2990" s="8"/>
      <c r="B2990" s="8" t="str">
        <f t="shared" si="49"/>
        <v/>
      </c>
    </row>
    <row r="2991" spans="1:2" x14ac:dyDescent="0.25">
      <c r="A2991" s="8"/>
      <c r="B2991" s="8" t="str">
        <f t="shared" si="49"/>
        <v/>
      </c>
    </row>
    <row r="2992" spans="1:2" x14ac:dyDescent="0.25">
      <c r="A2992" s="8"/>
      <c r="B2992" s="8" t="str">
        <f t="shared" si="49"/>
        <v/>
      </c>
    </row>
    <row r="2993" spans="1:2" x14ac:dyDescent="0.25">
      <c r="A2993" s="8"/>
      <c r="B2993" s="8" t="str">
        <f t="shared" si="49"/>
        <v/>
      </c>
    </row>
    <row r="2994" spans="1:2" x14ac:dyDescent="0.25">
      <c r="A2994" s="8"/>
      <c r="B2994" s="8" t="str">
        <f t="shared" si="49"/>
        <v/>
      </c>
    </row>
    <row r="2995" spans="1:2" x14ac:dyDescent="0.25">
      <c r="A2995" s="8"/>
      <c r="B2995" s="8" t="str">
        <f t="shared" si="49"/>
        <v/>
      </c>
    </row>
    <row r="2996" spans="1:2" x14ac:dyDescent="0.25">
      <c r="A2996" s="8"/>
      <c r="B2996" s="8" t="str">
        <f t="shared" si="49"/>
        <v/>
      </c>
    </row>
    <row r="2997" spans="1:2" x14ac:dyDescent="0.25">
      <c r="A2997" s="8"/>
      <c r="B2997" s="8" t="str">
        <f t="shared" si="49"/>
        <v/>
      </c>
    </row>
    <row r="2998" spans="1:2" x14ac:dyDescent="0.25">
      <c r="A2998" s="8"/>
      <c r="B2998" s="8" t="str">
        <f t="shared" si="49"/>
        <v/>
      </c>
    </row>
    <row r="2999" spans="1:2" x14ac:dyDescent="0.25">
      <c r="A2999" s="8"/>
      <c r="B2999" s="8" t="str">
        <f t="shared" si="49"/>
        <v/>
      </c>
    </row>
    <row r="3000" spans="1:2" x14ac:dyDescent="0.25">
      <c r="A3000" s="8"/>
      <c r="B3000" s="8" t="str">
        <f t="shared" si="49"/>
        <v/>
      </c>
    </row>
    <row r="3001" spans="1:2" x14ac:dyDescent="0.25">
      <c r="A3001" s="8"/>
      <c r="B3001" s="8" t="str">
        <f t="shared" si="49"/>
        <v/>
      </c>
    </row>
    <row r="3002" spans="1:2" x14ac:dyDescent="0.25">
      <c r="A3002" s="8"/>
      <c r="B3002" s="8" t="str">
        <f t="shared" si="49"/>
        <v/>
      </c>
    </row>
    <row r="3003" spans="1:2" x14ac:dyDescent="0.25">
      <c r="A3003" s="8"/>
      <c r="B3003" s="8" t="str">
        <f t="shared" si="49"/>
        <v/>
      </c>
    </row>
    <row r="3004" spans="1:2" x14ac:dyDescent="0.25">
      <c r="A3004" s="8"/>
      <c r="B3004" s="8" t="str">
        <f t="shared" si="49"/>
        <v/>
      </c>
    </row>
    <row r="3005" spans="1:2" x14ac:dyDescent="0.25">
      <c r="A3005" s="8"/>
      <c r="B3005" s="8" t="str">
        <f t="shared" si="49"/>
        <v/>
      </c>
    </row>
    <row r="3006" spans="1:2" x14ac:dyDescent="0.25">
      <c r="A3006" s="8"/>
      <c r="B3006" s="8" t="str">
        <f t="shared" si="49"/>
        <v/>
      </c>
    </row>
    <row r="3007" spans="1:2" x14ac:dyDescent="0.25">
      <c r="A3007" s="8"/>
      <c r="B3007" s="8" t="str">
        <f t="shared" si="49"/>
        <v/>
      </c>
    </row>
    <row r="3008" spans="1:2" x14ac:dyDescent="0.25">
      <c r="A3008" s="8"/>
      <c r="B3008" s="8" t="str">
        <f t="shared" si="49"/>
        <v/>
      </c>
    </row>
    <row r="3009" spans="1:2" x14ac:dyDescent="0.25">
      <c r="A3009" s="8"/>
      <c r="B3009" s="8" t="str">
        <f t="shared" si="49"/>
        <v/>
      </c>
    </row>
    <row r="3010" spans="1:2" x14ac:dyDescent="0.25">
      <c r="A3010" s="8"/>
      <c r="B3010" s="8" t="str">
        <f t="shared" si="49"/>
        <v/>
      </c>
    </row>
    <row r="3011" spans="1:2" x14ac:dyDescent="0.25">
      <c r="A3011" s="8"/>
      <c r="B3011" s="8" t="str">
        <f t="shared" si="49"/>
        <v/>
      </c>
    </row>
    <row r="3012" spans="1:2" x14ac:dyDescent="0.25">
      <c r="A3012" s="8"/>
      <c r="B3012" s="8" t="str">
        <f t="shared" ref="B3012:B3075" si="50">IF(A3012=0,"",41824+(ROUNDUP(DAYS360(41824,A3012)/7,0)*7))</f>
        <v/>
      </c>
    </row>
    <row r="3013" spans="1:2" x14ac:dyDescent="0.25">
      <c r="A3013" s="8"/>
      <c r="B3013" s="8" t="str">
        <f t="shared" si="50"/>
        <v/>
      </c>
    </row>
    <row r="3014" spans="1:2" x14ac:dyDescent="0.25">
      <c r="A3014" s="8"/>
      <c r="B3014" s="8" t="str">
        <f t="shared" si="50"/>
        <v/>
      </c>
    </row>
    <row r="3015" spans="1:2" x14ac:dyDescent="0.25">
      <c r="A3015" s="8"/>
      <c r="B3015" s="8" t="str">
        <f t="shared" si="50"/>
        <v/>
      </c>
    </row>
    <row r="3016" spans="1:2" x14ac:dyDescent="0.25">
      <c r="A3016" s="8"/>
      <c r="B3016" s="8" t="str">
        <f t="shared" si="50"/>
        <v/>
      </c>
    </row>
    <row r="3017" spans="1:2" x14ac:dyDescent="0.25">
      <c r="A3017" s="8"/>
      <c r="B3017" s="8" t="str">
        <f t="shared" si="50"/>
        <v/>
      </c>
    </row>
    <row r="3018" spans="1:2" x14ac:dyDescent="0.25">
      <c r="A3018" s="8"/>
      <c r="B3018" s="8" t="str">
        <f t="shared" si="50"/>
        <v/>
      </c>
    </row>
    <row r="3019" spans="1:2" x14ac:dyDescent="0.25">
      <c r="A3019" s="8"/>
      <c r="B3019" s="8" t="str">
        <f t="shared" si="50"/>
        <v/>
      </c>
    </row>
    <row r="3020" spans="1:2" x14ac:dyDescent="0.25">
      <c r="A3020" s="8"/>
      <c r="B3020" s="8" t="str">
        <f t="shared" si="50"/>
        <v/>
      </c>
    </row>
    <row r="3021" spans="1:2" x14ac:dyDescent="0.25">
      <c r="A3021" s="8"/>
      <c r="B3021" s="8" t="str">
        <f t="shared" si="50"/>
        <v/>
      </c>
    </row>
    <row r="3022" spans="1:2" x14ac:dyDescent="0.25">
      <c r="A3022" s="8"/>
      <c r="B3022" s="8" t="str">
        <f t="shared" si="50"/>
        <v/>
      </c>
    </row>
    <row r="3023" spans="1:2" x14ac:dyDescent="0.25">
      <c r="A3023" s="8"/>
      <c r="B3023" s="8" t="str">
        <f t="shared" si="50"/>
        <v/>
      </c>
    </row>
    <row r="3024" spans="1:2" x14ac:dyDescent="0.25">
      <c r="A3024" s="8"/>
      <c r="B3024" s="8" t="str">
        <f t="shared" si="50"/>
        <v/>
      </c>
    </row>
    <row r="3025" spans="1:2" x14ac:dyDescent="0.25">
      <c r="A3025" s="8"/>
      <c r="B3025" s="8" t="str">
        <f t="shared" si="50"/>
        <v/>
      </c>
    </row>
    <row r="3026" spans="1:2" x14ac:dyDescent="0.25">
      <c r="A3026" s="8"/>
      <c r="B3026" s="8" t="str">
        <f t="shared" si="50"/>
        <v/>
      </c>
    </row>
    <row r="3027" spans="1:2" x14ac:dyDescent="0.25">
      <c r="A3027" s="8"/>
      <c r="B3027" s="8" t="str">
        <f t="shared" si="50"/>
        <v/>
      </c>
    </row>
    <row r="3028" spans="1:2" x14ac:dyDescent="0.25">
      <c r="A3028" s="8"/>
      <c r="B3028" s="8" t="str">
        <f t="shared" si="50"/>
        <v/>
      </c>
    </row>
    <row r="3029" spans="1:2" x14ac:dyDescent="0.25">
      <c r="A3029" s="8"/>
      <c r="B3029" s="8" t="str">
        <f t="shared" si="50"/>
        <v/>
      </c>
    </row>
    <row r="3030" spans="1:2" x14ac:dyDescent="0.25">
      <c r="A3030" s="8"/>
      <c r="B3030" s="8" t="str">
        <f t="shared" si="50"/>
        <v/>
      </c>
    </row>
    <row r="3031" spans="1:2" x14ac:dyDescent="0.25">
      <c r="A3031" s="8"/>
      <c r="B3031" s="8" t="str">
        <f t="shared" si="50"/>
        <v/>
      </c>
    </row>
    <row r="3032" spans="1:2" x14ac:dyDescent="0.25">
      <c r="A3032" s="8"/>
      <c r="B3032" s="8" t="str">
        <f t="shared" si="50"/>
        <v/>
      </c>
    </row>
    <row r="3033" spans="1:2" x14ac:dyDescent="0.25">
      <c r="A3033" s="8"/>
      <c r="B3033" s="8" t="str">
        <f t="shared" si="50"/>
        <v/>
      </c>
    </row>
    <row r="3034" spans="1:2" x14ac:dyDescent="0.25">
      <c r="A3034" s="8"/>
      <c r="B3034" s="8" t="str">
        <f t="shared" si="50"/>
        <v/>
      </c>
    </row>
    <row r="3035" spans="1:2" x14ac:dyDescent="0.25">
      <c r="A3035" s="8"/>
      <c r="B3035" s="8" t="str">
        <f t="shared" si="50"/>
        <v/>
      </c>
    </row>
    <row r="3036" spans="1:2" x14ac:dyDescent="0.25">
      <c r="A3036" s="8"/>
      <c r="B3036" s="8" t="str">
        <f t="shared" si="50"/>
        <v/>
      </c>
    </row>
    <row r="3037" spans="1:2" x14ac:dyDescent="0.25">
      <c r="A3037" s="8"/>
      <c r="B3037" s="8" t="str">
        <f t="shared" si="50"/>
        <v/>
      </c>
    </row>
    <row r="3038" spans="1:2" x14ac:dyDescent="0.25">
      <c r="A3038" s="8"/>
      <c r="B3038" s="8" t="str">
        <f t="shared" si="50"/>
        <v/>
      </c>
    </row>
    <row r="3039" spans="1:2" x14ac:dyDescent="0.25">
      <c r="A3039" s="8"/>
      <c r="B3039" s="8" t="str">
        <f t="shared" si="50"/>
        <v/>
      </c>
    </row>
    <row r="3040" spans="1:2" x14ac:dyDescent="0.25">
      <c r="A3040" s="8"/>
      <c r="B3040" s="8" t="str">
        <f t="shared" si="50"/>
        <v/>
      </c>
    </row>
    <row r="3041" spans="1:2" x14ac:dyDescent="0.25">
      <c r="A3041" s="8"/>
      <c r="B3041" s="8" t="str">
        <f t="shared" si="50"/>
        <v/>
      </c>
    </row>
    <row r="3042" spans="1:2" x14ac:dyDescent="0.25">
      <c r="A3042" s="8"/>
      <c r="B3042" s="8" t="str">
        <f t="shared" si="50"/>
        <v/>
      </c>
    </row>
    <row r="3043" spans="1:2" x14ac:dyDescent="0.25">
      <c r="A3043" s="8"/>
      <c r="B3043" s="8" t="str">
        <f t="shared" si="50"/>
        <v/>
      </c>
    </row>
    <row r="3044" spans="1:2" x14ac:dyDescent="0.25">
      <c r="A3044" s="8"/>
      <c r="B3044" s="8" t="str">
        <f t="shared" si="50"/>
        <v/>
      </c>
    </row>
    <row r="3045" spans="1:2" x14ac:dyDescent="0.25">
      <c r="A3045" s="8"/>
      <c r="B3045" s="8" t="str">
        <f t="shared" si="50"/>
        <v/>
      </c>
    </row>
    <row r="3046" spans="1:2" x14ac:dyDescent="0.25">
      <c r="A3046" s="8"/>
      <c r="B3046" s="8" t="str">
        <f t="shared" si="50"/>
        <v/>
      </c>
    </row>
    <row r="3047" spans="1:2" x14ac:dyDescent="0.25">
      <c r="A3047" s="8"/>
      <c r="B3047" s="8" t="str">
        <f t="shared" si="50"/>
        <v/>
      </c>
    </row>
    <row r="3048" spans="1:2" x14ac:dyDescent="0.25">
      <c r="A3048" s="8"/>
      <c r="B3048" s="8" t="str">
        <f t="shared" si="50"/>
        <v/>
      </c>
    </row>
    <row r="3049" spans="1:2" x14ac:dyDescent="0.25">
      <c r="A3049" s="8"/>
      <c r="B3049" s="8" t="str">
        <f t="shared" si="50"/>
        <v/>
      </c>
    </row>
    <row r="3050" spans="1:2" x14ac:dyDescent="0.25">
      <c r="A3050" s="8"/>
      <c r="B3050" s="8" t="str">
        <f t="shared" si="50"/>
        <v/>
      </c>
    </row>
    <row r="3051" spans="1:2" x14ac:dyDescent="0.25">
      <c r="A3051" s="8"/>
      <c r="B3051" s="8" t="str">
        <f t="shared" si="50"/>
        <v/>
      </c>
    </row>
    <row r="3052" spans="1:2" x14ac:dyDescent="0.25">
      <c r="A3052" s="8"/>
      <c r="B3052" s="8" t="str">
        <f t="shared" si="50"/>
        <v/>
      </c>
    </row>
    <row r="3053" spans="1:2" x14ac:dyDescent="0.25">
      <c r="A3053" s="8"/>
      <c r="B3053" s="8" t="str">
        <f t="shared" si="50"/>
        <v/>
      </c>
    </row>
    <row r="3054" spans="1:2" x14ac:dyDescent="0.25">
      <c r="A3054" s="8"/>
      <c r="B3054" s="8" t="str">
        <f t="shared" si="50"/>
        <v/>
      </c>
    </row>
    <row r="3055" spans="1:2" x14ac:dyDescent="0.25">
      <c r="A3055" s="8"/>
      <c r="B3055" s="8" t="str">
        <f t="shared" si="50"/>
        <v/>
      </c>
    </row>
    <row r="3056" spans="1:2" x14ac:dyDescent="0.25">
      <c r="A3056" s="8"/>
      <c r="B3056" s="8" t="str">
        <f t="shared" si="50"/>
        <v/>
      </c>
    </row>
    <row r="3057" spans="1:2" x14ac:dyDescent="0.25">
      <c r="A3057" s="8"/>
      <c r="B3057" s="8" t="str">
        <f t="shared" si="50"/>
        <v/>
      </c>
    </row>
    <row r="3058" spans="1:2" x14ac:dyDescent="0.25">
      <c r="A3058" s="8"/>
      <c r="B3058" s="8" t="str">
        <f t="shared" si="50"/>
        <v/>
      </c>
    </row>
    <row r="3059" spans="1:2" x14ac:dyDescent="0.25">
      <c r="A3059" s="8"/>
      <c r="B3059" s="8" t="str">
        <f t="shared" si="50"/>
        <v/>
      </c>
    </row>
    <row r="3060" spans="1:2" x14ac:dyDescent="0.25">
      <c r="A3060" s="8"/>
      <c r="B3060" s="8" t="str">
        <f t="shared" si="50"/>
        <v/>
      </c>
    </row>
    <row r="3061" spans="1:2" x14ac:dyDescent="0.25">
      <c r="A3061" s="8"/>
      <c r="B3061" s="8" t="str">
        <f t="shared" si="50"/>
        <v/>
      </c>
    </row>
    <row r="3062" spans="1:2" x14ac:dyDescent="0.25">
      <c r="A3062" s="8"/>
      <c r="B3062" s="8" t="str">
        <f t="shared" si="50"/>
        <v/>
      </c>
    </row>
    <row r="3063" spans="1:2" x14ac:dyDescent="0.25">
      <c r="A3063" s="8"/>
      <c r="B3063" s="8" t="str">
        <f t="shared" si="50"/>
        <v/>
      </c>
    </row>
    <row r="3064" spans="1:2" x14ac:dyDescent="0.25">
      <c r="A3064" s="8"/>
      <c r="B3064" s="8" t="str">
        <f t="shared" si="50"/>
        <v/>
      </c>
    </row>
    <row r="3065" spans="1:2" x14ac:dyDescent="0.25">
      <c r="A3065" s="8"/>
      <c r="B3065" s="8" t="str">
        <f t="shared" si="50"/>
        <v/>
      </c>
    </row>
    <row r="3066" spans="1:2" x14ac:dyDescent="0.25">
      <c r="A3066" s="8"/>
      <c r="B3066" s="8" t="str">
        <f t="shared" si="50"/>
        <v/>
      </c>
    </row>
    <row r="3067" spans="1:2" x14ac:dyDescent="0.25">
      <c r="A3067" s="8"/>
      <c r="B3067" s="8" t="str">
        <f t="shared" si="50"/>
        <v/>
      </c>
    </row>
    <row r="3068" spans="1:2" x14ac:dyDescent="0.25">
      <c r="A3068" s="8"/>
      <c r="B3068" s="8" t="str">
        <f t="shared" si="50"/>
        <v/>
      </c>
    </row>
    <row r="3069" spans="1:2" x14ac:dyDescent="0.25">
      <c r="A3069" s="8"/>
      <c r="B3069" s="8" t="str">
        <f t="shared" si="50"/>
        <v/>
      </c>
    </row>
    <row r="3070" spans="1:2" x14ac:dyDescent="0.25">
      <c r="A3070" s="8"/>
      <c r="B3070" s="8" t="str">
        <f t="shared" si="50"/>
        <v/>
      </c>
    </row>
    <row r="3071" spans="1:2" x14ac:dyDescent="0.25">
      <c r="A3071" s="8"/>
      <c r="B3071" s="8" t="str">
        <f t="shared" si="50"/>
        <v/>
      </c>
    </row>
    <row r="3072" spans="1:2" x14ac:dyDescent="0.25">
      <c r="A3072" s="8"/>
      <c r="B3072" s="8" t="str">
        <f t="shared" si="50"/>
        <v/>
      </c>
    </row>
    <row r="3073" spans="1:2" x14ac:dyDescent="0.25">
      <c r="A3073" s="8"/>
      <c r="B3073" s="8" t="str">
        <f t="shared" si="50"/>
        <v/>
      </c>
    </row>
    <row r="3074" spans="1:2" x14ac:dyDescent="0.25">
      <c r="A3074" s="8"/>
      <c r="B3074" s="8" t="str">
        <f t="shared" si="50"/>
        <v/>
      </c>
    </row>
    <row r="3075" spans="1:2" x14ac:dyDescent="0.25">
      <c r="A3075" s="8"/>
      <c r="B3075" s="8" t="str">
        <f t="shared" si="50"/>
        <v/>
      </c>
    </row>
    <row r="3076" spans="1:2" x14ac:dyDescent="0.25">
      <c r="A3076" s="8"/>
      <c r="B3076" s="8" t="str">
        <f t="shared" ref="B3076:B3139" si="51">IF(A3076=0,"",41824+(ROUNDUP(DAYS360(41824,A3076)/7,0)*7))</f>
        <v/>
      </c>
    </row>
    <row r="3077" spans="1:2" x14ac:dyDescent="0.25">
      <c r="A3077" s="8"/>
      <c r="B3077" s="8" t="str">
        <f t="shared" si="51"/>
        <v/>
      </c>
    </row>
    <row r="3078" spans="1:2" x14ac:dyDescent="0.25">
      <c r="A3078" s="8"/>
      <c r="B3078" s="8" t="str">
        <f t="shared" si="51"/>
        <v/>
      </c>
    </row>
    <row r="3079" spans="1:2" x14ac:dyDescent="0.25">
      <c r="A3079" s="8"/>
      <c r="B3079" s="8" t="str">
        <f t="shared" si="51"/>
        <v/>
      </c>
    </row>
    <row r="3080" spans="1:2" x14ac:dyDescent="0.25">
      <c r="A3080" s="8"/>
      <c r="B3080" s="8" t="str">
        <f t="shared" si="51"/>
        <v/>
      </c>
    </row>
    <row r="3081" spans="1:2" x14ac:dyDescent="0.25">
      <c r="A3081" s="8"/>
      <c r="B3081" s="8" t="str">
        <f t="shared" si="51"/>
        <v/>
      </c>
    </row>
    <row r="3082" spans="1:2" x14ac:dyDescent="0.25">
      <c r="A3082" s="8"/>
      <c r="B3082" s="8" t="str">
        <f t="shared" si="51"/>
        <v/>
      </c>
    </row>
    <row r="3083" spans="1:2" x14ac:dyDescent="0.25">
      <c r="A3083" s="8"/>
      <c r="B3083" s="8" t="str">
        <f t="shared" si="51"/>
        <v/>
      </c>
    </row>
    <row r="3084" spans="1:2" x14ac:dyDescent="0.25">
      <c r="A3084" s="8"/>
      <c r="B3084" s="8" t="str">
        <f t="shared" si="51"/>
        <v/>
      </c>
    </row>
    <row r="3085" spans="1:2" x14ac:dyDescent="0.25">
      <c r="A3085" s="8"/>
      <c r="B3085" s="8" t="str">
        <f t="shared" si="51"/>
        <v/>
      </c>
    </row>
    <row r="3086" spans="1:2" x14ac:dyDescent="0.25">
      <c r="A3086" s="8"/>
      <c r="B3086" s="8" t="str">
        <f t="shared" si="51"/>
        <v/>
      </c>
    </row>
    <row r="3087" spans="1:2" x14ac:dyDescent="0.25">
      <c r="A3087" s="8"/>
      <c r="B3087" s="8" t="str">
        <f t="shared" si="51"/>
        <v/>
      </c>
    </row>
    <row r="3088" spans="1:2" x14ac:dyDescent="0.25">
      <c r="A3088" s="8"/>
      <c r="B3088" s="8" t="str">
        <f t="shared" si="51"/>
        <v/>
      </c>
    </row>
    <row r="3089" spans="1:2" x14ac:dyDescent="0.25">
      <c r="A3089" s="8"/>
      <c r="B3089" s="8" t="str">
        <f t="shared" si="51"/>
        <v/>
      </c>
    </row>
    <row r="3090" spans="1:2" x14ac:dyDescent="0.25">
      <c r="A3090" s="8"/>
      <c r="B3090" s="8" t="str">
        <f t="shared" si="51"/>
        <v/>
      </c>
    </row>
    <row r="3091" spans="1:2" x14ac:dyDescent="0.25">
      <c r="A3091" s="8"/>
      <c r="B3091" s="8" t="str">
        <f t="shared" si="51"/>
        <v/>
      </c>
    </row>
    <row r="3092" spans="1:2" x14ac:dyDescent="0.25">
      <c r="A3092" s="8"/>
      <c r="B3092" s="8" t="str">
        <f t="shared" si="51"/>
        <v/>
      </c>
    </row>
    <row r="3093" spans="1:2" x14ac:dyDescent="0.25">
      <c r="A3093" s="8"/>
      <c r="B3093" s="8" t="str">
        <f t="shared" si="51"/>
        <v/>
      </c>
    </row>
    <row r="3094" spans="1:2" x14ac:dyDescent="0.25">
      <c r="A3094" s="8"/>
      <c r="B3094" s="8" t="str">
        <f t="shared" si="51"/>
        <v/>
      </c>
    </row>
    <row r="3095" spans="1:2" x14ac:dyDescent="0.25">
      <c r="A3095" s="8"/>
      <c r="B3095" s="8" t="str">
        <f t="shared" si="51"/>
        <v/>
      </c>
    </row>
    <row r="3096" spans="1:2" x14ac:dyDescent="0.25">
      <c r="A3096" s="8"/>
      <c r="B3096" s="8" t="str">
        <f t="shared" si="51"/>
        <v/>
      </c>
    </row>
    <row r="3097" spans="1:2" x14ac:dyDescent="0.25">
      <c r="A3097" s="8"/>
      <c r="B3097" s="8" t="str">
        <f t="shared" si="51"/>
        <v/>
      </c>
    </row>
    <row r="3098" spans="1:2" x14ac:dyDescent="0.25">
      <c r="A3098" s="8"/>
      <c r="B3098" s="8" t="str">
        <f t="shared" si="51"/>
        <v/>
      </c>
    </row>
    <row r="3099" spans="1:2" x14ac:dyDescent="0.25">
      <c r="A3099" s="8"/>
      <c r="B3099" s="8" t="str">
        <f t="shared" si="51"/>
        <v/>
      </c>
    </row>
    <row r="3100" spans="1:2" x14ac:dyDescent="0.25">
      <c r="A3100" s="8"/>
      <c r="B3100" s="8" t="str">
        <f t="shared" si="51"/>
        <v/>
      </c>
    </row>
    <row r="3101" spans="1:2" x14ac:dyDescent="0.25">
      <c r="A3101" s="8"/>
      <c r="B3101" s="8" t="str">
        <f t="shared" si="51"/>
        <v/>
      </c>
    </row>
    <row r="3102" spans="1:2" x14ac:dyDescent="0.25">
      <c r="A3102" s="8"/>
      <c r="B3102" s="8" t="str">
        <f t="shared" si="51"/>
        <v/>
      </c>
    </row>
    <row r="3103" spans="1:2" x14ac:dyDescent="0.25">
      <c r="A3103" s="8"/>
      <c r="B3103" s="8" t="str">
        <f t="shared" si="51"/>
        <v/>
      </c>
    </row>
    <row r="3104" spans="1:2" x14ac:dyDescent="0.25">
      <c r="A3104" s="8"/>
      <c r="B3104" s="8" t="str">
        <f t="shared" si="51"/>
        <v/>
      </c>
    </row>
    <row r="3105" spans="1:2" x14ac:dyDescent="0.25">
      <c r="A3105" s="8"/>
      <c r="B3105" s="8" t="str">
        <f t="shared" si="51"/>
        <v/>
      </c>
    </row>
    <row r="3106" spans="1:2" x14ac:dyDescent="0.25">
      <c r="A3106" s="8"/>
      <c r="B3106" s="8" t="str">
        <f t="shared" si="51"/>
        <v/>
      </c>
    </row>
    <row r="3107" spans="1:2" x14ac:dyDescent="0.25">
      <c r="A3107" s="8"/>
      <c r="B3107" s="8" t="str">
        <f t="shared" si="51"/>
        <v/>
      </c>
    </row>
    <row r="3108" spans="1:2" x14ac:dyDescent="0.25">
      <c r="A3108" s="8"/>
      <c r="B3108" s="8" t="str">
        <f t="shared" si="51"/>
        <v/>
      </c>
    </row>
    <row r="3109" spans="1:2" x14ac:dyDescent="0.25">
      <c r="A3109" s="8"/>
      <c r="B3109" s="8" t="str">
        <f t="shared" si="51"/>
        <v/>
      </c>
    </row>
    <row r="3110" spans="1:2" x14ac:dyDescent="0.25">
      <c r="A3110" s="8"/>
      <c r="B3110" s="8" t="str">
        <f t="shared" si="51"/>
        <v/>
      </c>
    </row>
    <row r="3111" spans="1:2" x14ac:dyDescent="0.25">
      <c r="A3111" s="8"/>
      <c r="B3111" s="8" t="str">
        <f t="shared" si="51"/>
        <v/>
      </c>
    </row>
    <row r="3112" spans="1:2" x14ac:dyDescent="0.25">
      <c r="A3112" s="8"/>
      <c r="B3112" s="8" t="str">
        <f t="shared" si="51"/>
        <v/>
      </c>
    </row>
    <row r="3113" spans="1:2" x14ac:dyDescent="0.25">
      <c r="A3113" s="8"/>
      <c r="B3113" s="8" t="str">
        <f t="shared" si="51"/>
        <v/>
      </c>
    </row>
    <row r="3114" spans="1:2" x14ac:dyDescent="0.25">
      <c r="A3114" s="8"/>
      <c r="B3114" s="8" t="str">
        <f t="shared" si="51"/>
        <v/>
      </c>
    </row>
    <row r="3115" spans="1:2" x14ac:dyDescent="0.25">
      <c r="A3115" s="8"/>
      <c r="B3115" s="8" t="str">
        <f t="shared" si="51"/>
        <v/>
      </c>
    </row>
    <row r="3116" spans="1:2" x14ac:dyDescent="0.25">
      <c r="A3116" s="8"/>
      <c r="B3116" s="8" t="str">
        <f t="shared" si="51"/>
        <v/>
      </c>
    </row>
    <row r="3117" spans="1:2" x14ac:dyDescent="0.25">
      <c r="A3117" s="8"/>
      <c r="B3117" s="8" t="str">
        <f t="shared" si="51"/>
        <v/>
      </c>
    </row>
    <row r="3118" spans="1:2" x14ac:dyDescent="0.25">
      <c r="A3118" s="8"/>
      <c r="B3118" s="8" t="str">
        <f t="shared" si="51"/>
        <v/>
      </c>
    </row>
    <row r="3119" spans="1:2" x14ac:dyDescent="0.25">
      <c r="A3119" s="8"/>
      <c r="B3119" s="8" t="str">
        <f t="shared" si="51"/>
        <v/>
      </c>
    </row>
    <row r="3120" spans="1:2" x14ac:dyDescent="0.25">
      <c r="A3120" s="8"/>
      <c r="B3120" s="8" t="str">
        <f t="shared" si="51"/>
        <v/>
      </c>
    </row>
    <row r="3121" spans="1:2" x14ac:dyDescent="0.25">
      <c r="A3121" s="8"/>
      <c r="B3121" s="8" t="str">
        <f t="shared" si="51"/>
        <v/>
      </c>
    </row>
    <row r="3122" spans="1:2" x14ac:dyDescent="0.25">
      <c r="A3122" s="8"/>
      <c r="B3122" s="8" t="str">
        <f t="shared" si="51"/>
        <v/>
      </c>
    </row>
    <row r="3123" spans="1:2" x14ac:dyDescent="0.25">
      <c r="A3123" s="8"/>
      <c r="B3123" s="8" t="str">
        <f t="shared" si="51"/>
        <v/>
      </c>
    </row>
    <row r="3124" spans="1:2" x14ac:dyDescent="0.25">
      <c r="A3124" s="8"/>
      <c r="B3124" s="8" t="str">
        <f t="shared" si="51"/>
        <v/>
      </c>
    </row>
    <row r="3125" spans="1:2" x14ac:dyDescent="0.25">
      <c r="A3125" s="8"/>
      <c r="B3125" s="8" t="str">
        <f t="shared" si="51"/>
        <v/>
      </c>
    </row>
    <row r="3126" spans="1:2" x14ac:dyDescent="0.25">
      <c r="A3126" s="8"/>
      <c r="B3126" s="8" t="str">
        <f t="shared" si="51"/>
        <v/>
      </c>
    </row>
    <row r="3127" spans="1:2" x14ac:dyDescent="0.25">
      <c r="A3127" s="8"/>
      <c r="B3127" s="8" t="str">
        <f t="shared" si="51"/>
        <v/>
      </c>
    </row>
    <row r="3128" spans="1:2" x14ac:dyDescent="0.25">
      <c r="A3128" s="8"/>
      <c r="B3128" s="8" t="str">
        <f t="shared" si="51"/>
        <v/>
      </c>
    </row>
    <row r="3129" spans="1:2" x14ac:dyDescent="0.25">
      <c r="A3129" s="8"/>
      <c r="B3129" s="8" t="str">
        <f t="shared" si="51"/>
        <v/>
      </c>
    </row>
    <row r="3130" spans="1:2" x14ac:dyDescent="0.25">
      <c r="A3130" s="8"/>
      <c r="B3130" s="8" t="str">
        <f t="shared" si="51"/>
        <v/>
      </c>
    </row>
    <row r="3131" spans="1:2" x14ac:dyDescent="0.25">
      <c r="A3131" s="8"/>
      <c r="B3131" s="8" t="str">
        <f t="shared" si="51"/>
        <v/>
      </c>
    </row>
    <row r="3132" spans="1:2" x14ac:dyDescent="0.25">
      <c r="A3132" s="8"/>
      <c r="B3132" s="8" t="str">
        <f t="shared" si="51"/>
        <v/>
      </c>
    </row>
    <row r="3133" spans="1:2" x14ac:dyDescent="0.25">
      <c r="A3133" s="8"/>
      <c r="B3133" s="8" t="str">
        <f t="shared" si="51"/>
        <v/>
      </c>
    </row>
    <row r="3134" spans="1:2" x14ac:dyDescent="0.25">
      <c r="A3134" s="8"/>
      <c r="B3134" s="8" t="str">
        <f t="shared" si="51"/>
        <v/>
      </c>
    </row>
    <row r="3135" spans="1:2" x14ac:dyDescent="0.25">
      <c r="A3135" s="8"/>
      <c r="B3135" s="8" t="str">
        <f t="shared" si="51"/>
        <v/>
      </c>
    </row>
    <row r="3136" spans="1:2" x14ac:dyDescent="0.25">
      <c r="A3136" s="8"/>
      <c r="B3136" s="8" t="str">
        <f t="shared" si="51"/>
        <v/>
      </c>
    </row>
    <row r="3137" spans="1:2" x14ac:dyDescent="0.25">
      <c r="A3137" s="8"/>
      <c r="B3137" s="8" t="str">
        <f t="shared" si="51"/>
        <v/>
      </c>
    </row>
    <row r="3138" spans="1:2" x14ac:dyDescent="0.25">
      <c r="A3138" s="8"/>
      <c r="B3138" s="8" t="str">
        <f t="shared" si="51"/>
        <v/>
      </c>
    </row>
    <row r="3139" spans="1:2" x14ac:dyDescent="0.25">
      <c r="A3139" s="8"/>
      <c r="B3139" s="8" t="str">
        <f t="shared" si="51"/>
        <v/>
      </c>
    </row>
    <row r="3140" spans="1:2" x14ac:dyDescent="0.25">
      <c r="A3140" s="8"/>
      <c r="B3140" s="8" t="str">
        <f t="shared" ref="B3140:B3203" si="52">IF(A3140=0,"",41824+(ROUNDUP(DAYS360(41824,A3140)/7,0)*7))</f>
        <v/>
      </c>
    </row>
    <row r="3141" spans="1:2" x14ac:dyDescent="0.25">
      <c r="A3141" s="8"/>
      <c r="B3141" s="8" t="str">
        <f t="shared" si="52"/>
        <v/>
      </c>
    </row>
    <row r="3142" spans="1:2" x14ac:dyDescent="0.25">
      <c r="A3142" s="8"/>
      <c r="B3142" s="8" t="str">
        <f t="shared" si="52"/>
        <v/>
      </c>
    </row>
    <row r="3143" spans="1:2" x14ac:dyDescent="0.25">
      <c r="A3143" s="8"/>
      <c r="B3143" s="8" t="str">
        <f t="shared" si="52"/>
        <v/>
      </c>
    </row>
    <row r="3144" spans="1:2" x14ac:dyDescent="0.25">
      <c r="A3144" s="8"/>
      <c r="B3144" s="8" t="str">
        <f t="shared" si="52"/>
        <v/>
      </c>
    </row>
    <row r="3145" spans="1:2" x14ac:dyDescent="0.25">
      <c r="A3145" s="8"/>
      <c r="B3145" s="8" t="str">
        <f t="shared" si="52"/>
        <v/>
      </c>
    </row>
    <row r="3146" spans="1:2" x14ac:dyDescent="0.25">
      <c r="A3146" s="8"/>
      <c r="B3146" s="8" t="str">
        <f t="shared" si="52"/>
        <v/>
      </c>
    </row>
    <row r="3147" spans="1:2" x14ac:dyDescent="0.25">
      <c r="A3147" s="8"/>
      <c r="B3147" s="8" t="str">
        <f t="shared" si="52"/>
        <v/>
      </c>
    </row>
    <row r="3148" spans="1:2" x14ac:dyDescent="0.25">
      <c r="A3148" s="8"/>
      <c r="B3148" s="8" t="str">
        <f t="shared" si="52"/>
        <v/>
      </c>
    </row>
    <row r="3149" spans="1:2" x14ac:dyDescent="0.25">
      <c r="A3149" s="8"/>
      <c r="B3149" s="8" t="str">
        <f t="shared" si="52"/>
        <v/>
      </c>
    </row>
    <row r="3150" spans="1:2" x14ac:dyDescent="0.25">
      <c r="A3150" s="8"/>
      <c r="B3150" s="8" t="str">
        <f t="shared" si="52"/>
        <v/>
      </c>
    </row>
    <row r="3151" spans="1:2" x14ac:dyDescent="0.25">
      <c r="A3151" s="8"/>
      <c r="B3151" s="8" t="str">
        <f t="shared" si="52"/>
        <v/>
      </c>
    </row>
    <row r="3152" spans="1:2" x14ac:dyDescent="0.25">
      <c r="A3152" s="8"/>
      <c r="B3152" s="8" t="str">
        <f t="shared" si="52"/>
        <v/>
      </c>
    </row>
    <row r="3153" spans="1:2" x14ac:dyDescent="0.25">
      <c r="A3153" s="8"/>
      <c r="B3153" s="8" t="str">
        <f t="shared" si="52"/>
        <v/>
      </c>
    </row>
    <row r="3154" spans="1:2" x14ac:dyDescent="0.25">
      <c r="A3154" s="8"/>
      <c r="B3154" s="8" t="str">
        <f t="shared" si="52"/>
        <v/>
      </c>
    </row>
    <row r="3155" spans="1:2" x14ac:dyDescent="0.25">
      <c r="A3155" s="8"/>
      <c r="B3155" s="8" t="str">
        <f t="shared" si="52"/>
        <v/>
      </c>
    </row>
    <row r="3156" spans="1:2" x14ac:dyDescent="0.25">
      <c r="A3156" s="8"/>
      <c r="B3156" s="8" t="str">
        <f t="shared" si="52"/>
        <v/>
      </c>
    </row>
    <row r="3157" spans="1:2" x14ac:dyDescent="0.25">
      <c r="A3157" s="8"/>
      <c r="B3157" s="8" t="str">
        <f t="shared" si="52"/>
        <v/>
      </c>
    </row>
    <row r="3158" spans="1:2" x14ac:dyDescent="0.25">
      <c r="A3158" s="8"/>
      <c r="B3158" s="8" t="str">
        <f t="shared" si="52"/>
        <v/>
      </c>
    </row>
    <row r="3159" spans="1:2" x14ac:dyDescent="0.25">
      <c r="A3159" s="8"/>
      <c r="B3159" s="8" t="str">
        <f t="shared" si="52"/>
        <v/>
      </c>
    </row>
    <row r="3160" spans="1:2" x14ac:dyDescent="0.25">
      <c r="A3160" s="8"/>
      <c r="B3160" s="8" t="str">
        <f t="shared" si="52"/>
        <v/>
      </c>
    </row>
    <row r="3161" spans="1:2" x14ac:dyDescent="0.25">
      <c r="A3161" s="8"/>
      <c r="B3161" s="8" t="str">
        <f t="shared" si="52"/>
        <v/>
      </c>
    </row>
    <row r="3162" spans="1:2" x14ac:dyDescent="0.25">
      <c r="A3162" s="8"/>
      <c r="B3162" s="8" t="str">
        <f t="shared" si="52"/>
        <v/>
      </c>
    </row>
    <row r="3163" spans="1:2" x14ac:dyDescent="0.25">
      <c r="A3163" s="8"/>
      <c r="B3163" s="8" t="str">
        <f t="shared" si="52"/>
        <v/>
      </c>
    </row>
    <row r="3164" spans="1:2" x14ac:dyDescent="0.25">
      <c r="A3164" s="8"/>
      <c r="B3164" s="8" t="str">
        <f t="shared" si="52"/>
        <v/>
      </c>
    </row>
    <row r="3165" spans="1:2" x14ac:dyDescent="0.25">
      <c r="A3165" s="8"/>
      <c r="B3165" s="8" t="str">
        <f t="shared" si="52"/>
        <v/>
      </c>
    </row>
    <row r="3166" spans="1:2" x14ac:dyDescent="0.25">
      <c r="A3166" s="8"/>
      <c r="B3166" s="8" t="str">
        <f t="shared" si="52"/>
        <v/>
      </c>
    </row>
    <row r="3167" spans="1:2" x14ac:dyDescent="0.25">
      <c r="A3167" s="8"/>
      <c r="B3167" s="8" t="str">
        <f t="shared" si="52"/>
        <v/>
      </c>
    </row>
    <row r="3168" spans="1:2" x14ac:dyDescent="0.25">
      <c r="A3168" s="8"/>
      <c r="B3168" s="8" t="str">
        <f t="shared" si="52"/>
        <v/>
      </c>
    </row>
    <row r="3169" spans="1:2" x14ac:dyDescent="0.25">
      <c r="A3169" s="8"/>
      <c r="B3169" s="8" t="str">
        <f t="shared" si="52"/>
        <v/>
      </c>
    </row>
    <row r="3170" spans="1:2" x14ac:dyDescent="0.25">
      <c r="A3170" s="8"/>
      <c r="B3170" s="8" t="str">
        <f t="shared" si="52"/>
        <v/>
      </c>
    </row>
    <row r="3171" spans="1:2" x14ac:dyDescent="0.25">
      <c r="A3171" s="8"/>
      <c r="B3171" s="8" t="str">
        <f t="shared" si="52"/>
        <v/>
      </c>
    </row>
    <row r="3172" spans="1:2" x14ac:dyDescent="0.25">
      <c r="A3172" s="8"/>
      <c r="B3172" s="8" t="str">
        <f t="shared" si="52"/>
        <v/>
      </c>
    </row>
    <row r="3173" spans="1:2" x14ac:dyDescent="0.25">
      <c r="A3173" s="8"/>
      <c r="B3173" s="8" t="str">
        <f t="shared" si="52"/>
        <v/>
      </c>
    </row>
    <row r="3174" spans="1:2" x14ac:dyDescent="0.25">
      <c r="A3174" s="8"/>
      <c r="B3174" s="8" t="str">
        <f t="shared" si="52"/>
        <v/>
      </c>
    </row>
    <row r="3175" spans="1:2" x14ac:dyDescent="0.25">
      <c r="A3175" s="8"/>
      <c r="B3175" s="8" t="str">
        <f t="shared" si="52"/>
        <v/>
      </c>
    </row>
    <row r="3176" spans="1:2" x14ac:dyDescent="0.25">
      <c r="A3176" s="8"/>
      <c r="B3176" s="8" t="str">
        <f t="shared" si="52"/>
        <v/>
      </c>
    </row>
    <row r="3177" spans="1:2" x14ac:dyDescent="0.25">
      <c r="A3177" s="8"/>
      <c r="B3177" s="8" t="str">
        <f t="shared" si="52"/>
        <v/>
      </c>
    </row>
    <row r="3178" spans="1:2" x14ac:dyDescent="0.25">
      <c r="A3178" s="8"/>
      <c r="B3178" s="8" t="str">
        <f t="shared" si="52"/>
        <v/>
      </c>
    </row>
    <row r="3179" spans="1:2" x14ac:dyDescent="0.25">
      <c r="A3179" s="8"/>
      <c r="B3179" s="8" t="str">
        <f t="shared" si="52"/>
        <v/>
      </c>
    </row>
    <row r="3180" spans="1:2" x14ac:dyDescent="0.25">
      <c r="A3180" s="8"/>
      <c r="B3180" s="8" t="str">
        <f t="shared" si="52"/>
        <v/>
      </c>
    </row>
    <row r="3181" spans="1:2" x14ac:dyDescent="0.25">
      <c r="A3181" s="8"/>
      <c r="B3181" s="8" t="str">
        <f t="shared" si="52"/>
        <v/>
      </c>
    </row>
    <row r="3182" spans="1:2" x14ac:dyDescent="0.25">
      <c r="A3182" s="8"/>
      <c r="B3182" s="8" t="str">
        <f t="shared" si="52"/>
        <v/>
      </c>
    </row>
    <row r="3183" spans="1:2" x14ac:dyDescent="0.25">
      <c r="A3183" s="8"/>
      <c r="B3183" s="8" t="str">
        <f t="shared" si="52"/>
        <v/>
      </c>
    </row>
    <row r="3184" spans="1:2" x14ac:dyDescent="0.25">
      <c r="A3184" s="8"/>
      <c r="B3184" s="8" t="str">
        <f t="shared" si="52"/>
        <v/>
      </c>
    </row>
    <row r="3185" spans="1:2" x14ac:dyDescent="0.25">
      <c r="A3185" s="8"/>
      <c r="B3185" s="8" t="str">
        <f t="shared" si="52"/>
        <v/>
      </c>
    </row>
    <row r="3186" spans="1:2" x14ac:dyDescent="0.25">
      <c r="A3186" s="8"/>
      <c r="B3186" s="8" t="str">
        <f t="shared" si="52"/>
        <v/>
      </c>
    </row>
    <row r="3187" spans="1:2" x14ac:dyDescent="0.25">
      <c r="A3187" s="8"/>
      <c r="B3187" s="8" t="str">
        <f t="shared" si="52"/>
        <v/>
      </c>
    </row>
    <row r="3188" spans="1:2" x14ac:dyDescent="0.25">
      <c r="A3188" s="8"/>
      <c r="B3188" s="8" t="str">
        <f t="shared" si="52"/>
        <v/>
      </c>
    </row>
    <row r="3189" spans="1:2" x14ac:dyDescent="0.25">
      <c r="A3189" s="8"/>
      <c r="B3189" s="8" t="str">
        <f t="shared" si="52"/>
        <v/>
      </c>
    </row>
    <row r="3190" spans="1:2" x14ac:dyDescent="0.25">
      <c r="A3190" s="8"/>
      <c r="B3190" s="8" t="str">
        <f t="shared" si="52"/>
        <v/>
      </c>
    </row>
    <row r="3191" spans="1:2" x14ac:dyDescent="0.25">
      <c r="A3191" s="8"/>
      <c r="B3191" s="8" t="str">
        <f t="shared" si="52"/>
        <v/>
      </c>
    </row>
    <row r="3192" spans="1:2" x14ac:dyDescent="0.25">
      <c r="A3192" s="8"/>
      <c r="B3192" s="8" t="str">
        <f t="shared" si="52"/>
        <v/>
      </c>
    </row>
    <row r="3193" spans="1:2" x14ac:dyDescent="0.25">
      <c r="A3193" s="8"/>
      <c r="B3193" s="8" t="str">
        <f t="shared" si="52"/>
        <v/>
      </c>
    </row>
    <row r="3194" spans="1:2" x14ac:dyDescent="0.25">
      <c r="A3194" s="8"/>
      <c r="B3194" s="8" t="str">
        <f t="shared" si="52"/>
        <v/>
      </c>
    </row>
    <row r="3195" spans="1:2" x14ac:dyDescent="0.25">
      <c r="A3195" s="8"/>
      <c r="B3195" s="8" t="str">
        <f t="shared" si="52"/>
        <v/>
      </c>
    </row>
    <row r="3196" spans="1:2" x14ac:dyDescent="0.25">
      <c r="A3196" s="8"/>
      <c r="B3196" s="8" t="str">
        <f t="shared" si="52"/>
        <v/>
      </c>
    </row>
    <row r="3197" spans="1:2" x14ac:dyDescent="0.25">
      <c r="A3197" s="8"/>
      <c r="B3197" s="8" t="str">
        <f t="shared" si="52"/>
        <v/>
      </c>
    </row>
    <row r="3198" spans="1:2" x14ac:dyDescent="0.25">
      <c r="A3198" s="8"/>
      <c r="B3198" s="8" t="str">
        <f t="shared" si="52"/>
        <v/>
      </c>
    </row>
    <row r="3199" spans="1:2" x14ac:dyDescent="0.25">
      <c r="A3199" s="8"/>
      <c r="B3199" s="8" t="str">
        <f t="shared" si="52"/>
        <v/>
      </c>
    </row>
    <row r="3200" spans="1:2" x14ac:dyDescent="0.25">
      <c r="A3200" s="8"/>
      <c r="B3200" s="8" t="str">
        <f t="shared" si="52"/>
        <v/>
      </c>
    </row>
    <row r="3201" spans="1:2" x14ac:dyDescent="0.25">
      <c r="A3201" s="8"/>
      <c r="B3201" s="8" t="str">
        <f t="shared" si="52"/>
        <v/>
      </c>
    </row>
    <row r="3202" spans="1:2" x14ac:dyDescent="0.25">
      <c r="A3202" s="8"/>
      <c r="B3202" s="8" t="str">
        <f t="shared" si="52"/>
        <v/>
      </c>
    </row>
    <row r="3203" spans="1:2" x14ac:dyDescent="0.25">
      <c r="A3203" s="8"/>
      <c r="B3203" s="8" t="str">
        <f t="shared" si="52"/>
        <v/>
      </c>
    </row>
    <row r="3204" spans="1:2" x14ac:dyDescent="0.25">
      <c r="A3204" s="8"/>
      <c r="B3204" s="8" t="str">
        <f t="shared" ref="B3204:B3267" si="53">IF(A3204=0,"",41824+(ROUNDUP(DAYS360(41824,A3204)/7,0)*7))</f>
        <v/>
      </c>
    </row>
    <row r="3205" spans="1:2" x14ac:dyDescent="0.25">
      <c r="A3205" s="8"/>
      <c r="B3205" s="8" t="str">
        <f t="shared" si="53"/>
        <v/>
      </c>
    </row>
    <row r="3206" spans="1:2" x14ac:dyDescent="0.25">
      <c r="A3206" s="8"/>
      <c r="B3206" s="8" t="str">
        <f t="shared" si="53"/>
        <v/>
      </c>
    </row>
    <row r="3207" spans="1:2" x14ac:dyDescent="0.25">
      <c r="A3207" s="8"/>
      <c r="B3207" s="8" t="str">
        <f t="shared" si="53"/>
        <v/>
      </c>
    </row>
    <row r="3208" spans="1:2" x14ac:dyDescent="0.25">
      <c r="A3208" s="8"/>
      <c r="B3208" s="8" t="str">
        <f t="shared" si="53"/>
        <v/>
      </c>
    </row>
    <row r="3209" spans="1:2" x14ac:dyDescent="0.25">
      <c r="A3209" s="8"/>
      <c r="B3209" s="8" t="str">
        <f t="shared" si="53"/>
        <v/>
      </c>
    </row>
    <row r="3210" spans="1:2" x14ac:dyDescent="0.25">
      <c r="A3210" s="8"/>
      <c r="B3210" s="8" t="str">
        <f t="shared" si="53"/>
        <v/>
      </c>
    </row>
    <row r="3211" spans="1:2" x14ac:dyDescent="0.25">
      <c r="A3211" s="8"/>
      <c r="B3211" s="8" t="str">
        <f t="shared" si="53"/>
        <v/>
      </c>
    </row>
    <row r="3212" spans="1:2" x14ac:dyDescent="0.25">
      <c r="A3212" s="8"/>
      <c r="B3212" s="8" t="str">
        <f t="shared" si="53"/>
        <v/>
      </c>
    </row>
    <row r="3213" spans="1:2" x14ac:dyDescent="0.25">
      <c r="A3213" s="8"/>
      <c r="B3213" s="8" t="str">
        <f t="shared" si="53"/>
        <v/>
      </c>
    </row>
    <row r="3214" spans="1:2" x14ac:dyDescent="0.25">
      <c r="A3214" s="8"/>
      <c r="B3214" s="8" t="str">
        <f t="shared" si="53"/>
        <v/>
      </c>
    </row>
    <row r="3215" spans="1:2" x14ac:dyDescent="0.25">
      <c r="A3215" s="8"/>
      <c r="B3215" s="8" t="str">
        <f t="shared" si="53"/>
        <v/>
      </c>
    </row>
    <row r="3216" spans="1:2" x14ac:dyDescent="0.25">
      <c r="A3216" s="8"/>
      <c r="B3216" s="8" t="str">
        <f t="shared" si="53"/>
        <v/>
      </c>
    </row>
    <row r="3217" spans="1:2" x14ac:dyDescent="0.25">
      <c r="A3217" s="8"/>
      <c r="B3217" s="8" t="str">
        <f t="shared" si="53"/>
        <v/>
      </c>
    </row>
    <row r="3218" spans="1:2" x14ac:dyDescent="0.25">
      <c r="A3218" s="8"/>
      <c r="B3218" s="8" t="str">
        <f t="shared" si="53"/>
        <v/>
      </c>
    </row>
    <row r="3219" spans="1:2" x14ac:dyDescent="0.25">
      <c r="A3219" s="8"/>
      <c r="B3219" s="8" t="str">
        <f t="shared" si="53"/>
        <v/>
      </c>
    </row>
    <row r="3220" spans="1:2" x14ac:dyDescent="0.25">
      <c r="A3220" s="8"/>
      <c r="B3220" s="8" t="str">
        <f t="shared" si="53"/>
        <v/>
      </c>
    </row>
    <row r="3221" spans="1:2" x14ac:dyDescent="0.25">
      <c r="A3221" s="8"/>
      <c r="B3221" s="8" t="str">
        <f t="shared" si="53"/>
        <v/>
      </c>
    </row>
    <row r="3222" spans="1:2" x14ac:dyDescent="0.25">
      <c r="A3222" s="8"/>
      <c r="B3222" s="8" t="str">
        <f t="shared" si="53"/>
        <v/>
      </c>
    </row>
    <row r="3223" spans="1:2" x14ac:dyDescent="0.25">
      <c r="A3223" s="8"/>
      <c r="B3223" s="8" t="str">
        <f t="shared" si="53"/>
        <v/>
      </c>
    </row>
    <row r="3224" spans="1:2" x14ac:dyDescent="0.25">
      <c r="A3224" s="8"/>
      <c r="B3224" s="8" t="str">
        <f t="shared" si="53"/>
        <v/>
      </c>
    </row>
    <row r="3225" spans="1:2" x14ac:dyDescent="0.25">
      <c r="A3225" s="8"/>
      <c r="B3225" s="8" t="str">
        <f t="shared" si="53"/>
        <v/>
      </c>
    </row>
    <row r="3226" spans="1:2" x14ac:dyDescent="0.25">
      <c r="A3226" s="8"/>
      <c r="B3226" s="8" t="str">
        <f t="shared" si="53"/>
        <v/>
      </c>
    </row>
    <row r="3227" spans="1:2" x14ac:dyDescent="0.25">
      <c r="A3227" s="8"/>
      <c r="B3227" s="8" t="str">
        <f t="shared" si="53"/>
        <v/>
      </c>
    </row>
    <row r="3228" spans="1:2" x14ac:dyDescent="0.25">
      <c r="A3228" s="8"/>
      <c r="B3228" s="8" t="str">
        <f t="shared" si="53"/>
        <v/>
      </c>
    </row>
    <row r="3229" spans="1:2" x14ac:dyDescent="0.25">
      <c r="A3229" s="8"/>
      <c r="B3229" s="8" t="str">
        <f t="shared" si="53"/>
        <v/>
      </c>
    </row>
    <row r="3230" spans="1:2" x14ac:dyDescent="0.25">
      <c r="A3230" s="8"/>
      <c r="B3230" s="8" t="str">
        <f t="shared" si="53"/>
        <v/>
      </c>
    </row>
    <row r="3231" spans="1:2" x14ac:dyDescent="0.25">
      <c r="A3231" s="8"/>
      <c r="B3231" s="8" t="str">
        <f t="shared" si="53"/>
        <v/>
      </c>
    </row>
    <row r="3232" spans="1:2" x14ac:dyDescent="0.25">
      <c r="A3232" s="8"/>
      <c r="B3232" s="8" t="str">
        <f t="shared" si="53"/>
        <v/>
      </c>
    </row>
    <row r="3233" spans="1:2" x14ac:dyDescent="0.25">
      <c r="A3233" s="8"/>
      <c r="B3233" s="8" t="str">
        <f t="shared" si="53"/>
        <v/>
      </c>
    </row>
    <row r="3234" spans="1:2" x14ac:dyDescent="0.25">
      <c r="A3234" s="8"/>
      <c r="B3234" s="8" t="str">
        <f t="shared" si="53"/>
        <v/>
      </c>
    </row>
    <row r="3235" spans="1:2" x14ac:dyDescent="0.25">
      <c r="A3235" s="8"/>
      <c r="B3235" s="8" t="str">
        <f t="shared" si="53"/>
        <v/>
      </c>
    </row>
    <row r="3236" spans="1:2" x14ac:dyDescent="0.25">
      <c r="A3236" s="8"/>
      <c r="B3236" s="8" t="str">
        <f t="shared" si="53"/>
        <v/>
      </c>
    </row>
    <row r="3237" spans="1:2" x14ac:dyDescent="0.25">
      <c r="A3237" s="8"/>
      <c r="B3237" s="8" t="str">
        <f t="shared" si="53"/>
        <v/>
      </c>
    </row>
    <row r="3238" spans="1:2" x14ac:dyDescent="0.25">
      <c r="A3238" s="8"/>
      <c r="B3238" s="8" t="str">
        <f t="shared" si="53"/>
        <v/>
      </c>
    </row>
    <row r="3239" spans="1:2" x14ac:dyDescent="0.25">
      <c r="A3239" s="8"/>
      <c r="B3239" s="8" t="str">
        <f t="shared" si="53"/>
        <v/>
      </c>
    </row>
    <row r="3240" spans="1:2" x14ac:dyDescent="0.25">
      <c r="A3240" s="8"/>
      <c r="B3240" s="8" t="str">
        <f t="shared" si="53"/>
        <v/>
      </c>
    </row>
    <row r="3241" spans="1:2" x14ac:dyDescent="0.25">
      <c r="A3241" s="8"/>
      <c r="B3241" s="8" t="str">
        <f t="shared" si="53"/>
        <v/>
      </c>
    </row>
    <row r="3242" spans="1:2" x14ac:dyDescent="0.25">
      <c r="A3242" s="8"/>
      <c r="B3242" s="8" t="str">
        <f t="shared" si="53"/>
        <v/>
      </c>
    </row>
    <row r="3243" spans="1:2" x14ac:dyDescent="0.25">
      <c r="A3243" s="8"/>
      <c r="B3243" s="8" t="str">
        <f t="shared" si="53"/>
        <v/>
      </c>
    </row>
    <row r="3244" spans="1:2" x14ac:dyDescent="0.25">
      <c r="A3244" s="8"/>
      <c r="B3244" s="8" t="str">
        <f t="shared" si="53"/>
        <v/>
      </c>
    </row>
    <row r="3245" spans="1:2" x14ac:dyDescent="0.25">
      <c r="A3245" s="8"/>
      <c r="B3245" s="8" t="str">
        <f t="shared" si="53"/>
        <v/>
      </c>
    </row>
    <row r="3246" spans="1:2" x14ac:dyDescent="0.25">
      <c r="A3246" s="8"/>
      <c r="B3246" s="8" t="str">
        <f t="shared" si="53"/>
        <v/>
      </c>
    </row>
    <row r="3247" spans="1:2" x14ac:dyDescent="0.25">
      <c r="A3247" s="8"/>
      <c r="B3247" s="8" t="str">
        <f t="shared" si="53"/>
        <v/>
      </c>
    </row>
    <row r="3248" spans="1:2" x14ac:dyDescent="0.25">
      <c r="A3248" s="8"/>
      <c r="B3248" s="8" t="str">
        <f t="shared" si="53"/>
        <v/>
      </c>
    </row>
    <row r="3249" spans="1:2" x14ac:dyDescent="0.25">
      <c r="A3249" s="8"/>
      <c r="B3249" s="8" t="str">
        <f t="shared" si="53"/>
        <v/>
      </c>
    </row>
    <row r="3250" spans="1:2" x14ac:dyDescent="0.25">
      <c r="A3250" s="8"/>
      <c r="B3250" s="8" t="str">
        <f t="shared" si="53"/>
        <v/>
      </c>
    </row>
    <row r="3251" spans="1:2" x14ac:dyDescent="0.25">
      <c r="A3251" s="8"/>
      <c r="B3251" s="8" t="str">
        <f t="shared" si="53"/>
        <v/>
      </c>
    </row>
    <row r="3252" spans="1:2" x14ac:dyDescent="0.25">
      <c r="A3252" s="8"/>
      <c r="B3252" s="8" t="str">
        <f t="shared" si="53"/>
        <v/>
      </c>
    </row>
    <row r="3253" spans="1:2" x14ac:dyDescent="0.25">
      <c r="A3253" s="8"/>
      <c r="B3253" s="8" t="str">
        <f t="shared" si="53"/>
        <v/>
      </c>
    </row>
    <row r="3254" spans="1:2" x14ac:dyDescent="0.25">
      <c r="A3254" s="8"/>
      <c r="B3254" s="8" t="str">
        <f t="shared" si="53"/>
        <v/>
      </c>
    </row>
    <row r="3255" spans="1:2" x14ac:dyDescent="0.25">
      <c r="A3255" s="8"/>
      <c r="B3255" s="8" t="str">
        <f t="shared" si="53"/>
        <v/>
      </c>
    </row>
    <row r="3256" spans="1:2" x14ac:dyDescent="0.25">
      <c r="A3256" s="8"/>
      <c r="B3256" s="8" t="str">
        <f t="shared" si="53"/>
        <v/>
      </c>
    </row>
    <row r="3257" spans="1:2" x14ac:dyDescent="0.25">
      <c r="A3257" s="8"/>
      <c r="B3257" s="8" t="str">
        <f t="shared" si="53"/>
        <v/>
      </c>
    </row>
    <row r="3258" spans="1:2" x14ac:dyDescent="0.25">
      <c r="A3258" s="8"/>
      <c r="B3258" s="8" t="str">
        <f t="shared" si="53"/>
        <v/>
      </c>
    </row>
    <row r="3259" spans="1:2" x14ac:dyDescent="0.25">
      <c r="A3259" s="8"/>
      <c r="B3259" s="8" t="str">
        <f t="shared" si="53"/>
        <v/>
      </c>
    </row>
    <row r="3260" spans="1:2" x14ac:dyDescent="0.25">
      <c r="A3260" s="8"/>
      <c r="B3260" s="8" t="str">
        <f t="shared" si="53"/>
        <v/>
      </c>
    </row>
    <row r="3261" spans="1:2" x14ac:dyDescent="0.25">
      <c r="A3261" s="8"/>
      <c r="B3261" s="8" t="str">
        <f t="shared" si="53"/>
        <v/>
      </c>
    </row>
    <row r="3262" spans="1:2" x14ac:dyDescent="0.25">
      <c r="A3262" s="8"/>
      <c r="B3262" s="8" t="str">
        <f t="shared" si="53"/>
        <v/>
      </c>
    </row>
    <row r="3263" spans="1:2" x14ac:dyDescent="0.25">
      <c r="A3263" s="8"/>
      <c r="B3263" s="8" t="str">
        <f t="shared" si="53"/>
        <v/>
      </c>
    </row>
    <row r="3264" spans="1:2" x14ac:dyDescent="0.25">
      <c r="A3264" s="8"/>
      <c r="B3264" s="8" t="str">
        <f t="shared" si="53"/>
        <v/>
      </c>
    </row>
    <row r="3265" spans="1:2" x14ac:dyDescent="0.25">
      <c r="A3265" s="8"/>
      <c r="B3265" s="8" t="str">
        <f t="shared" si="53"/>
        <v/>
      </c>
    </row>
    <row r="3266" spans="1:2" x14ac:dyDescent="0.25">
      <c r="A3266" s="8"/>
      <c r="B3266" s="8" t="str">
        <f t="shared" si="53"/>
        <v/>
      </c>
    </row>
    <row r="3267" spans="1:2" x14ac:dyDescent="0.25">
      <c r="A3267" s="8"/>
      <c r="B3267" s="8" t="str">
        <f t="shared" si="53"/>
        <v/>
      </c>
    </row>
    <row r="3268" spans="1:2" x14ac:dyDescent="0.25">
      <c r="A3268" s="8"/>
      <c r="B3268" s="8" t="str">
        <f t="shared" ref="B3268:B3331" si="54">IF(A3268=0,"",41824+(ROUNDUP(DAYS360(41824,A3268)/7,0)*7))</f>
        <v/>
      </c>
    </row>
    <row r="3269" spans="1:2" x14ac:dyDescent="0.25">
      <c r="A3269" s="8"/>
      <c r="B3269" s="8" t="str">
        <f t="shared" si="54"/>
        <v/>
      </c>
    </row>
    <row r="3270" spans="1:2" x14ac:dyDescent="0.25">
      <c r="A3270" s="8"/>
      <c r="B3270" s="8" t="str">
        <f t="shared" si="54"/>
        <v/>
      </c>
    </row>
    <row r="3271" spans="1:2" x14ac:dyDescent="0.25">
      <c r="A3271" s="8"/>
      <c r="B3271" s="8" t="str">
        <f t="shared" si="54"/>
        <v/>
      </c>
    </row>
    <row r="3272" spans="1:2" x14ac:dyDescent="0.25">
      <c r="A3272" s="8"/>
      <c r="B3272" s="8" t="str">
        <f t="shared" si="54"/>
        <v/>
      </c>
    </row>
    <row r="3273" spans="1:2" x14ac:dyDescent="0.25">
      <c r="A3273" s="8"/>
      <c r="B3273" s="8" t="str">
        <f t="shared" si="54"/>
        <v/>
      </c>
    </row>
    <row r="3274" spans="1:2" x14ac:dyDescent="0.25">
      <c r="A3274" s="8"/>
      <c r="B3274" s="8" t="str">
        <f t="shared" si="54"/>
        <v/>
      </c>
    </row>
    <row r="3275" spans="1:2" x14ac:dyDescent="0.25">
      <c r="A3275" s="8"/>
      <c r="B3275" s="8" t="str">
        <f t="shared" si="54"/>
        <v/>
      </c>
    </row>
    <row r="3276" spans="1:2" x14ac:dyDescent="0.25">
      <c r="A3276" s="8"/>
      <c r="B3276" s="8" t="str">
        <f t="shared" si="54"/>
        <v/>
      </c>
    </row>
    <row r="3277" spans="1:2" x14ac:dyDescent="0.25">
      <c r="A3277" s="8"/>
      <c r="B3277" s="8" t="str">
        <f t="shared" si="54"/>
        <v/>
      </c>
    </row>
    <row r="3278" spans="1:2" x14ac:dyDescent="0.25">
      <c r="A3278" s="8"/>
      <c r="B3278" s="8" t="str">
        <f t="shared" si="54"/>
        <v/>
      </c>
    </row>
    <row r="3279" spans="1:2" x14ac:dyDescent="0.25">
      <c r="A3279" s="8"/>
      <c r="B3279" s="8" t="str">
        <f t="shared" si="54"/>
        <v/>
      </c>
    </row>
    <row r="3280" spans="1:2" x14ac:dyDescent="0.25">
      <c r="A3280" s="8"/>
      <c r="B3280" s="8" t="str">
        <f t="shared" si="54"/>
        <v/>
      </c>
    </row>
    <row r="3281" spans="1:2" x14ac:dyDescent="0.25">
      <c r="A3281" s="8"/>
      <c r="B3281" s="8" t="str">
        <f t="shared" si="54"/>
        <v/>
      </c>
    </row>
    <row r="3282" spans="1:2" x14ac:dyDescent="0.25">
      <c r="A3282" s="8"/>
      <c r="B3282" s="8" t="str">
        <f t="shared" si="54"/>
        <v/>
      </c>
    </row>
    <row r="3283" spans="1:2" x14ac:dyDescent="0.25">
      <c r="A3283" s="8"/>
      <c r="B3283" s="8" t="str">
        <f t="shared" si="54"/>
        <v/>
      </c>
    </row>
    <row r="3284" spans="1:2" x14ac:dyDescent="0.25">
      <c r="A3284" s="8"/>
      <c r="B3284" s="8" t="str">
        <f t="shared" si="54"/>
        <v/>
      </c>
    </row>
    <row r="3285" spans="1:2" x14ac:dyDescent="0.25">
      <c r="A3285" s="8"/>
      <c r="B3285" s="8" t="str">
        <f t="shared" si="54"/>
        <v/>
      </c>
    </row>
    <row r="3286" spans="1:2" x14ac:dyDescent="0.25">
      <c r="A3286" s="8"/>
      <c r="B3286" s="8" t="str">
        <f t="shared" si="54"/>
        <v/>
      </c>
    </row>
    <row r="3287" spans="1:2" x14ac:dyDescent="0.25">
      <c r="A3287" s="8"/>
      <c r="B3287" s="8" t="str">
        <f t="shared" si="54"/>
        <v/>
      </c>
    </row>
    <row r="3288" spans="1:2" x14ac:dyDescent="0.25">
      <c r="A3288" s="8"/>
      <c r="B3288" s="8" t="str">
        <f t="shared" si="54"/>
        <v/>
      </c>
    </row>
    <row r="3289" spans="1:2" x14ac:dyDescent="0.25">
      <c r="A3289" s="8"/>
      <c r="B3289" s="8" t="str">
        <f t="shared" si="54"/>
        <v/>
      </c>
    </row>
    <row r="3290" spans="1:2" x14ac:dyDescent="0.25">
      <c r="A3290" s="8"/>
      <c r="B3290" s="8" t="str">
        <f t="shared" si="54"/>
        <v/>
      </c>
    </row>
    <row r="3291" spans="1:2" x14ac:dyDescent="0.25">
      <c r="A3291" s="8"/>
      <c r="B3291" s="8" t="str">
        <f t="shared" si="54"/>
        <v/>
      </c>
    </row>
    <row r="3292" spans="1:2" x14ac:dyDescent="0.25">
      <c r="A3292" s="8"/>
      <c r="B3292" s="8" t="str">
        <f t="shared" si="54"/>
        <v/>
      </c>
    </row>
    <row r="3293" spans="1:2" x14ac:dyDescent="0.25">
      <c r="A3293" s="8"/>
      <c r="B3293" s="8" t="str">
        <f t="shared" si="54"/>
        <v/>
      </c>
    </row>
    <row r="3294" spans="1:2" x14ac:dyDescent="0.25">
      <c r="A3294" s="8"/>
      <c r="B3294" s="8" t="str">
        <f t="shared" si="54"/>
        <v/>
      </c>
    </row>
    <row r="3295" spans="1:2" x14ac:dyDescent="0.25">
      <c r="A3295" s="8"/>
      <c r="B3295" s="8" t="str">
        <f t="shared" si="54"/>
        <v/>
      </c>
    </row>
    <row r="3296" spans="1:2" x14ac:dyDescent="0.25">
      <c r="A3296" s="8"/>
      <c r="B3296" s="8" t="str">
        <f t="shared" si="54"/>
        <v/>
      </c>
    </row>
    <row r="3297" spans="1:2" x14ac:dyDescent="0.25">
      <c r="A3297" s="8"/>
      <c r="B3297" s="8" t="str">
        <f t="shared" si="54"/>
        <v/>
      </c>
    </row>
    <row r="3298" spans="1:2" x14ac:dyDescent="0.25">
      <c r="A3298" s="8"/>
      <c r="B3298" s="8" t="str">
        <f t="shared" si="54"/>
        <v/>
      </c>
    </row>
    <row r="3299" spans="1:2" x14ac:dyDescent="0.25">
      <c r="A3299" s="8"/>
      <c r="B3299" s="8" t="str">
        <f t="shared" si="54"/>
        <v/>
      </c>
    </row>
    <row r="3300" spans="1:2" x14ac:dyDescent="0.25">
      <c r="A3300" s="8"/>
      <c r="B3300" s="8" t="str">
        <f t="shared" si="54"/>
        <v/>
      </c>
    </row>
    <row r="3301" spans="1:2" x14ac:dyDescent="0.25">
      <c r="A3301" s="8"/>
      <c r="B3301" s="8" t="str">
        <f t="shared" si="54"/>
        <v/>
      </c>
    </row>
    <row r="3302" spans="1:2" x14ac:dyDescent="0.25">
      <c r="A3302" s="8"/>
      <c r="B3302" s="8" t="str">
        <f t="shared" si="54"/>
        <v/>
      </c>
    </row>
    <row r="3303" spans="1:2" x14ac:dyDescent="0.25">
      <c r="A3303" s="8"/>
      <c r="B3303" s="8" t="str">
        <f t="shared" si="54"/>
        <v/>
      </c>
    </row>
    <row r="3304" spans="1:2" x14ac:dyDescent="0.25">
      <c r="A3304" s="8"/>
      <c r="B3304" s="8" t="str">
        <f t="shared" si="54"/>
        <v/>
      </c>
    </row>
    <row r="3305" spans="1:2" x14ac:dyDescent="0.25">
      <c r="A3305" s="8"/>
      <c r="B3305" s="8" t="str">
        <f t="shared" si="54"/>
        <v/>
      </c>
    </row>
    <row r="3306" spans="1:2" x14ac:dyDescent="0.25">
      <c r="A3306" s="8"/>
      <c r="B3306" s="8" t="str">
        <f t="shared" si="54"/>
        <v/>
      </c>
    </row>
    <row r="3307" spans="1:2" x14ac:dyDescent="0.25">
      <c r="A3307" s="8"/>
      <c r="B3307" s="8" t="str">
        <f t="shared" si="54"/>
        <v/>
      </c>
    </row>
    <row r="3308" spans="1:2" x14ac:dyDescent="0.25">
      <c r="A3308" s="8"/>
      <c r="B3308" s="8" t="str">
        <f t="shared" si="54"/>
        <v/>
      </c>
    </row>
    <row r="3309" spans="1:2" x14ac:dyDescent="0.25">
      <c r="A3309" s="8"/>
      <c r="B3309" s="8" t="str">
        <f t="shared" si="54"/>
        <v/>
      </c>
    </row>
    <row r="3310" spans="1:2" x14ac:dyDescent="0.25">
      <c r="A3310" s="8"/>
      <c r="B3310" s="8" t="str">
        <f t="shared" si="54"/>
        <v/>
      </c>
    </row>
    <row r="3311" spans="1:2" x14ac:dyDescent="0.25">
      <c r="A3311" s="8"/>
      <c r="B3311" s="8" t="str">
        <f t="shared" si="54"/>
        <v/>
      </c>
    </row>
    <row r="3312" spans="1:2" x14ac:dyDescent="0.25">
      <c r="A3312" s="8"/>
      <c r="B3312" s="8" t="str">
        <f t="shared" si="54"/>
        <v/>
      </c>
    </row>
    <row r="3313" spans="1:2" x14ac:dyDescent="0.25">
      <c r="A3313" s="8"/>
      <c r="B3313" s="8" t="str">
        <f t="shared" si="54"/>
        <v/>
      </c>
    </row>
    <row r="3314" spans="1:2" x14ac:dyDescent="0.25">
      <c r="A3314" s="8"/>
      <c r="B3314" s="8" t="str">
        <f t="shared" si="54"/>
        <v/>
      </c>
    </row>
    <row r="3315" spans="1:2" x14ac:dyDescent="0.25">
      <c r="A3315" s="8"/>
      <c r="B3315" s="8" t="str">
        <f t="shared" si="54"/>
        <v/>
      </c>
    </row>
    <row r="3316" spans="1:2" x14ac:dyDescent="0.25">
      <c r="A3316" s="8"/>
      <c r="B3316" s="8" t="str">
        <f t="shared" si="54"/>
        <v/>
      </c>
    </row>
    <row r="3317" spans="1:2" x14ac:dyDescent="0.25">
      <c r="A3317" s="8"/>
      <c r="B3317" s="8" t="str">
        <f t="shared" si="54"/>
        <v/>
      </c>
    </row>
    <row r="3318" spans="1:2" x14ac:dyDescent="0.25">
      <c r="A3318" s="8"/>
      <c r="B3318" s="8" t="str">
        <f t="shared" si="54"/>
        <v/>
      </c>
    </row>
    <row r="3319" spans="1:2" x14ac:dyDescent="0.25">
      <c r="A3319" s="8"/>
      <c r="B3319" s="8" t="str">
        <f t="shared" si="54"/>
        <v/>
      </c>
    </row>
    <row r="3320" spans="1:2" x14ac:dyDescent="0.25">
      <c r="A3320" s="8"/>
      <c r="B3320" s="8" t="str">
        <f t="shared" si="54"/>
        <v/>
      </c>
    </row>
    <row r="3321" spans="1:2" x14ac:dyDescent="0.25">
      <c r="A3321" s="8"/>
      <c r="B3321" s="8" t="str">
        <f t="shared" si="54"/>
        <v/>
      </c>
    </row>
    <row r="3322" spans="1:2" x14ac:dyDescent="0.25">
      <c r="A3322" s="8"/>
      <c r="B3322" s="8" t="str">
        <f t="shared" si="54"/>
        <v/>
      </c>
    </row>
    <row r="3323" spans="1:2" x14ac:dyDescent="0.25">
      <c r="A3323" s="8"/>
      <c r="B3323" s="8" t="str">
        <f t="shared" si="54"/>
        <v/>
      </c>
    </row>
    <row r="3324" spans="1:2" x14ac:dyDescent="0.25">
      <c r="A3324" s="8"/>
      <c r="B3324" s="8" t="str">
        <f t="shared" si="54"/>
        <v/>
      </c>
    </row>
    <row r="3325" spans="1:2" x14ac:dyDescent="0.25">
      <c r="A3325" s="8"/>
      <c r="B3325" s="8" t="str">
        <f t="shared" si="54"/>
        <v/>
      </c>
    </row>
    <row r="3326" spans="1:2" x14ac:dyDescent="0.25">
      <c r="A3326" s="8"/>
      <c r="B3326" s="8" t="str">
        <f t="shared" si="54"/>
        <v/>
      </c>
    </row>
    <row r="3327" spans="1:2" x14ac:dyDescent="0.25">
      <c r="A3327" s="8"/>
      <c r="B3327" s="8" t="str">
        <f t="shared" si="54"/>
        <v/>
      </c>
    </row>
    <row r="3328" spans="1:2" x14ac:dyDescent="0.25">
      <c r="A3328" s="8"/>
      <c r="B3328" s="8" t="str">
        <f t="shared" si="54"/>
        <v/>
      </c>
    </row>
    <row r="3329" spans="1:2" x14ac:dyDescent="0.25">
      <c r="A3329" s="8"/>
      <c r="B3329" s="8" t="str">
        <f t="shared" si="54"/>
        <v/>
      </c>
    </row>
    <row r="3330" spans="1:2" x14ac:dyDescent="0.25">
      <c r="A3330" s="8"/>
      <c r="B3330" s="8" t="str">
        <f t="shared" si="54"/>
        <v/>
      </c>
    </row>
    <row r="3331" spans="1:2" x14ac:dyDescent="0.25">
      <c r="A3331" s="8"/>
      <c r="B3331" s="8" t="str">
        <f t="shared" si="54"/>
        <v/>
      </c>
    </row>
    <row r="3332" spans="1:2" x14ac:dyDescent="0.25">
      <c r="A3332" s="8"/>
      <c r="B3332" s="8" t="str">
        <f t="shared" ref="B3332:B3395" si="55">IF(A3332=0,"",41824+(ROUNDUP(DAYS360(41824,A3332)/7,0)*7))</f>
        <v/>
      </c>
    </row>
    <row r="3333" spans="1:2" x14ac:dyDescent="0.25">
      <c r="A3333" s="8"/>
      <c r="B3333" s="8" t="str">
        <f t="shared" si="55"/>
        <v/>
      </c>
    </row>
    <row r="3334" spans="1:2" x14ac:dyDescent="0.25">
      <c r="A3334" s="8"/>
      <c r="B3334" s="8" t="str">
        <f t="shared" si="55"/>
        <v/>
      </c>
    </row>
    <row r="3335" spans="1:2" x14ac:dyDescent="0.25">
      <c r="A3335" s="8"/>
      <c r="B3335" s="8" t="str">
        <f t="shared" si="55"/>
        <v/>
      </c>
    </row>
    <row r="3336" spans="1:2" x14ac:dyDescent="0.25">
      <c r="A3336" s="8"/>
      <c r="B3336" s="8" t="str">
        <f t="shared" si="55"/>
        <v/>
      </c>
    </row>
    <row r="3337" spans="1:2" x14ac:dyDescent="0.25">
      <c r="A3337" s="8"/>
      <c r="B3337" s="8" t="str">
        <f t="shared" si="55"/>
        <v/>
      </c>
    </row>
    <row r="3338" spans="1:2" x14ac:dyDescent="0.25">
      <c r="A3338" s="8"/>
      <c r="B3338" s="8" t="str">
        <f t="shared" si="55"/>
        <v/>
      </c>
    </row>
    <row r="3339" spans="1:2" x14ac:dyDescent="0.25">
      <c r="A3339" s="8"/>
      <c r="B3339" s="8" t="str">
        <f t="shared" si="55"/>
        <v/>
      </c>
    </row>
    <row r="3340" spans="1:2" x14ac:dyDescent="0.25">
      <c r="A3340" s="8"/>
      <c r="B3340" s="8" t="str">
        <f t="shared" si="55"/>
        <v/>
      </c>
    </row>
    <row r="3341" spans="1:2" x14ac:dyDescent="0.25">
      <c r="A3341" s="8"/>
      <c r="B3341" s="8" t="str">
        <f t="shared" si="55"/>
        <v/>
      </c>
    </row>
    <row r="3342" spans="1:2" x14ac:dyDescent="0.25">
      <c r="A3342" s="8"/>
      <c r="B3342" s="8" t="str">
        <f t="shared" si="55"/>
        <v/>
      </c>
    </row>
    <row r="3343" spans="1:2" x14ac:dyDescent="0.25">
      <c r="A3343" s="8"/>
      <c r="B3343" s="8" t="str">
        <f t="shared" si="55"/>
        <v/>
      </c>
    </row>
    <row r="3344" spans="1:2" x14ac:dyDescent="0.25">
      <c r="A3344" s="8"/>
      <c r="B3344" s="8" t="str">
        <f t="shared" si="55"/>
        <v/>
      </c>
    </row>
    <row r="3345" spans="1:2" x14ac:dyDescent="0.25">
      <c r="A3345" s="8"/>
      <c r="B3345" s="8" t="str">
        <f t="shared" si="55"/>
        <v/>
      </c>
    </row>
    <row r="3346" spans="1:2" x14ac:dyDescent="0.25">
      <c r="A3346" s="8"/>
      <c r="B3346" s="8" t="str">
        <f t="shared" si="55"/>
        <v/>
      </c>
    </row>
    <row r="3347" spans="1:2" x14ac:dyDescent="0.25">
      <c r="A3347" s="8"/>
      <c r="B3347" s="8" t="str">
        <f t="shared" si="55"/>
        <v/>
      </c>
    </row>
    <row r="3348" spans="1:2" x14ac:dyDescent="0.25">
      <c r="A3348" s="8"/>
      <c r="B3348" s="8" t="str">
        <f t="shared" si="55"/>
        <v/>
      </c>
    </row>
    <row r="3349" spans="1:2" x14ac:dyDescent="0.25">
      <c r="A3349" s="8"/>
      <c r="B3349" s="8" t="str">
        <f t="shared" si="55"/>
        <v/>
      </c>
    </row>
    <row r="3350" spans="1:2" x14ac:dyDescent="0.25">
      <c r="A3350" s="8"/>
      <c r="B3350" s="8" t="str">
        <f t="shared" si="55"/>
        <v/>
      </c>
    </row>
    <row r="3351" spans="1:2" x14ac:dyDescent="0.25">
      <c r="A3351" s="8"/>
      <c r="B3351" s="8" t="str">
        <f t="shared" si="55"/>
        <v/>
      </c>
    </row>
    <row r="3352" spans="1:2" x14ac:dyDescent="0.25">
      <c r="A3352" s="8"/>
      <c r="B3352" s="8" t="str">
        <f t="shared" si="55"/>
        <v/>
      </c>
    </row>
    <row r="3353" spans="1:2" x14ac:dyDescent="0.25">
      <c r="A3353" s="8"/>
      <c r="B3353" s="8" t="str">
        <f t="shared" si="55"/>
        <v/>
      </c>
    </row>
    <row r="3354" spans="1:2" x14ac:dyDescent="0.25">
      <c r="A3354" s="8"/>
      <c r="B3354" s="8" t="str">
        <f t="shared" si="55"/>
        <v/>
      </c>
    </row>
    <row r="3355" spans="1:2" x14ac:dyDescent="0.25">
      <c r="A3355" s="8"/>
      <c r="B3355" s="8" t="str">
        <f t="shared" si="55"/>
        <v/>
      </c>
    </row>
    <row r="3356" spans="1:2" x14ac:dyDescent="0.25">
      <c r="A3356" s="8"/>
      <c r="B3356" s="8" t="str">
        <f t="shared" si="55"/>
        <v/>
      </c>
    </row>
    <row r="3357" spans="1:2" x14ac:dyDescent="0.25">
      <c r="A3357" s="8"/>
      <c r="B3357" s="8" t="str">
        <f t="shared" si="55"/>
        <v/>
      </c>
    </row>
    <row r="3358" spans="1:2" x14ac:dyDescent="0.25">
      <c r="A3358" s="8"/>
      <c r="B3358" s="8" t="str">
        <f t="shared" si="55"/>
        <v/>
      </c>
    </row>
    <row r="3359" spans="1:2" x14ac:dyDescent="0.25">
      <c r="A3359" s="8"/>
      <c r="B3359" s="8" t="str">
        <f t="shared" si="55"/>
        <v/>
      </c>
    </row>
    <row r="3360" spans="1:2" x14ac:dyDescent="0.25">
      <c r="A3360" s="8"/>
      <c r="B3360" s="8" t="str">
        <f t="shared" si="55"/>
        <v/>
      </c>
    </row>
    <row r="3361" spans="1:2" x14ac:dyDescent="0.25">
      <c r="A3361" s="8"/>
      <c r="B3361" s="8" t="str">
        <f t="shared" si="55"/>
        <v/>
      </c>
    </row>
    <row r="3362" spans="1:2" x14ac:dyDescent="0.25">
      <c r="A3362" s="8"/>
      <c r="B3362" s="8" t="str">
        <f t="shared" si="55"/>
        <v/>
      </c>
    </row>
    <row r="3363" spans="1:2" x14ac:dyDescent="0.25">
      <c r="A3363" s="8"/>
      <c r="B3363" s="8" t="str">
        <f t="shared" si="55"/>
        <v/>
      </c>
    </row>
    <row r="3364" spans="1:2" x14ac:dyDescent="0.25">
      <c r="A3364" s="8"/>
      <c r="B3364" s="8" t="str">
        <f t="shared" si="55"/>
        <v/>
      </c>
    </row>
    <row r="3365" spans="1:2" x14ac:dyDescent="0.25">
      <c r="A3365" s="8"/>
      <c r="B3365" s="8" t="str">
        <f t="shared" si="55"/>
        <v/>
      </c>
    </row>
    <row r="3366" spans="1:2" x14ac:dyDescent="0.25">
      <c r="A3366" s="8"/>
      <c r="B3366" s="8" t="str">
        <f t="shared" si="55"/>
        <v/>
      </c>
    </row>
    <row r="3367" spans="1:2" x14ac:dyDescent="0.25">
      <c r="A3367" s="8"/>
      <c r="B3367" s="8" t="str">
        <f t="shared" si="55"/>
        <v/>
      </c>
    </row>
    <row r="3368" spans="1:2" x14ac:dyDescent="0.25">
      <c r="A3368" s="8"/>
      <c r="B3368" s="8" t="str">
        <f t="shared" si="55"/>
        <v/>
      </c>
    </row>
    <row r="3369" spans="1:2" x14ac:dyDescent="0.25">
      <c r="A3369" s="8"/>
      <c r="B3369" s="8" t="str">
        <f t="shared" si="55"/>
        <v/>
      </c>
    </row>
    <row r="3370" spans="1:2" x14ac:dyDescent="0.25">
      <c r="A3370" s="8"/>
      <c r="B3370" s="8" t="str">
        <f t="shared" si="55"/>
        <v/>
      </c>
    </row>
    <row r="3371" spans="1:2" x14ac:dyDescent="0.25">
      <c r="A3371" s="8"/>
      <c r="B3371" s="8" t="str">
        <f t="shared" si="55"/>
        <v/>
      </c>
    </row>
    <row r="3372" spans="1:2" x14ac:dyDescent="0.25">
      <c r="A3372" s="8"/>
      <c r="B3372" s="8" t="str">
        <f t="shared" si="55"/>
        <v/>
      </c>
    </row>
    <row r="3373" spans="1:2" x14ac:dyDescent="0.25">
      <c r="A3373" s="8"/>
      <c r="B3373" s="8" t="str">
        <f t="shared" si="55"/>
        <v/>
      </c>
    </row>
    <row r="3374" spans="1:2" x14ac:dyDescent="0.25">
      <c r="A3374" s="8"/>
      <c r="B3374" s="8" t="str">
        <f t="shared" si="55"/>
        <v/>
      </c>
    </row>
    <row r="3375" spans="1:2" x14ac:dyDescent="0.25">
      <c r="A3375" s="8"/>
      <c r="B3375" s="8" t="str">
        <f t="shared" si="55"/>
        <v/>
      </c>
    </row>
    <row r="3376" spans="1:2" x14ac:dyDescent="0.25">
      <c r="A3376" s="8"/>
      <c r="B3376" s="8" t="str">
        <f t="shared" si="55"/>
        <v/>
      </c>
    </row>
    <row r="3377" spans="1:2" x14ac:dyDescent="0.25">
      <c r="A3377" s="8"/>
      <c r="B3377" s="8" t="str">
        <f t="shared" si="55"/>
        <v/>
      </c>
    </row>
    <row r="3378" spans="1:2" x14ac:dyDescent="0.25">
      <c r="A3378" s="8"/>
      <c r="B3378" s="8" t="str">
        <f t="shared" si="55"/>
        <v/>
      </c>
    </row>
    <row r="3379" spans="1:2" x14ac:dyDescent="0.25">
      <c r="A3379" s="8"/>
      <c r="B3379" s="8" t="str">
        <f t="shared" si="55"/>
        <v/>
      </c>
    </row>
    <row r="3380" spans="1:2" x14ac:dyDescent="0.25">
      <c r="A3380" s="8"/>
      <c r="B3380" s="8" t="str">
        <f t="shared" si="55"/>
        <v/>
      </c>
    </row>
    <row r="3381" spans="1:2" x14ac:dyDescent="0.25">
      <c r="A3381" s="8"/>
      <c r="B3381" s="8" t="str">
        <f t="shared" si="55"/>
        <v/>
      </c>
    </row>
    <row r="3382" spans="1:2" x14ac:dyDescent="0.25">
      <c r="A3382" s="8"/>
      <c r="B3382" s="8" t="str">
        <f t="shared" si="55"/>
        <v/>
      </c>
    </row>
    <row r="3383" spans="1:2" x14ac:dyDescent="0.25">
      <c r="A3383" s="8"/>
      <c r="B3383" s="8" t="str">
        <f t="shared" si="55"/>
        <v/>
      </c>
    </row>
    <row r="3384" spans="1:2" x14ac:dyDescent="0.25">
      <c r="A3384" s="8"/>
      <c r="B3384" s="8" t="str">
        <f t="shared" si="55"/>
        <v/>
      </c>
    </row>
    <row r="3385" spans="1:2" x14ac:dyDescent="0.25">
      <c r="A3385" s="8"/>
      <c r="B3385" s="8" t="str">
        <f t="shared" si="55"/>
        <v/>
      </c>
    </row>
    <row r="3386" spans="1:2" x14ac:dyDescent="0.25">
      <c r="A3386" s="8"/>
      <c r="B3386" s="8" t="str">
        <f t="shared" si="55"/>
        <v/>
      </c>
    </row>
    <row r="3387" spans="1:2" x14ac:dyDescent="0.25">
      <c r="A3387" s="8"/>
      <c r="B3387" s="8" t="str">
        <f t="shared" si="55"/>
        <v/>
      </c>
    </row>
    <row r="3388" spans="1:2" x14ac:dyDescent="0.25">
      <c r="A3388" s="8"/>
      <c r="B3388" s="8" t="str">
        <f t="shared" si="55"/>
        <v/>
      </c>
    </row>
    <row r="3389" spans="1:2" x14ac:dyDescent="0.25">
      <c r="A3389" s="8"/>
      <c r="B3389" s="8" t="str">
        <f t="shared" si="55"/>
        <v/>
      </c>
    </row>
    <row r="3390" spans="1:2" x14ac:dyDescent="0.25">
      <c r="A3390" s="8"/>
      <c r="B3390" s="8" t="str">
        <f t="shared" si="55"/>
        <v/>
      </c>
    </row>
    <row r="3391" spans="1:2" x14ac:dyDescent="0.25">
      <c r="A3391" s="8"/>
      <c r="B3391" s="8" t="str">
        <f t="shared" si="55"/>
        <v/>
      </c>
    </row>
    <row r="3392" spans="1:2" x14ac:dyDescent="0.25">
      <c r="A3392" s="8"/>
      <c r="B3392" s="8" t="str">
        <f t="shared" si="55"/>
        <v/>
      </c>
    </row>
    <row r="3393" spans="1:2" x14ac:dyDescent="0.25">
      <c r="A3393" s="8"/>
      <c r="B3393" s="8" t="str">
        <f t="shared" si="55"/>
        <v/>
      </c>
    </row>
    <row r="3394" spans="1:2" x14ac:dyDescent="0.25">
      <c r="A3394" s="8"/>
      <c r="B3394" s="8" t="str">
        <f t="shared" si="55"/>
        <v/>
      </c>
    </row>
    <row r="3395" spans="1:2" x14ac:dyDescent="0.25">
      <c r="A3395" s="8"/>
      <c r="B3395" s="8" t="str">
        <f t="shared" si="55"/>
        <v/>
      </c>
    </row>
    <row r="3396" spans="1:2" x14ac:dyDescent="0.25">
      <c r="A3396" s="8"/>
      <c r="B3396" s="8" t="str">
        <f t="shared" ref="B3396:B3459" si="56">IF(A3396=0,"",41824+(ROUNDUP(DAYS360(41824,A3396)/7,0)*7))</f>
        <v/>
      </c>
    </row>
    <row r="3397" spans="1:2" x14ac:dyDescent="0.25">
      <c r="A3397" s="8"/>
      <c r="B3397" s="8" t="str">
        <f t="shared" si="56"/>
        <v/>
      </c>
    </row>
    <row r="3398" spans="1:2" x14ac:dyDescent="0.25">
      <c r="A3398" s="8"/>
      <c r="B3398" s="8" t="str">
        <f t="shared" si="56"/>
        <v/>
      </c>
    </row>
    <row r="3399" spans="1:2" x14ac:dyDescent="0.25">
      <c r="A3399" s="8"/>
      <c r="B3399" s="8" t="str">
        <f t="shared" si="56"/>
        <v/>
      </c>
    </row>
    <row r="3400" spans="1:2" x14ac:dyDescent="0.25">
      <c r="A3400" s="8"/>
      <c r="B3400" s="8" t="str">
        <f t="shared" si="56"/>
        <v/>
      </c>
    </row>
    <row r="3401" spans="1:2" x14ac:dyDescent="0.25">
      <c r="A3401" s="8"/>
      <c r="B3401" s="8" t="str">
        <f t="shared" si="56"/>
        <v/>
      </c>
    </row>
    <row r="3402" spans="1:2" x14ac:dyDescent="0.25">
      <c r="A3402" s="8"/>
      <c r="B3402" s="8" t="str">
        <f t="shared" si="56"/>
        <v/>
      </c>
    </row>
    <row r="3403" spans="1:2" x14ac:dyDescent="0.25">
      <c r="A3403" s="8"/>
      <c r="B3403" s="8" t="str">
        <f t="shared" si="56"/>
        <v/>
      </c>
    </row>
    <row r="3404" spans="1:2" x14ac:dyDescent="0.25">
      <c r="A3404" s="8"/>
      <c r="B3404" s="8" t="str">
        <f t="shared" si="56"/>
        <v/>
      </c>
    </row>
    <row r="3405" spans="1:2" x14ac:dyDescent="0.25">
      <c r="A3405" s="8"/>
      <c r="B3405" s="8" t="str">
        <f t="shared" si="56"/>
        <v/>
      </c>
    </row>
    <row r="3406" spans="1:2" x14ac:dyDescent="0.25">
      <c r="A3406" s="8"/>
      <c r="B3406" s="8" t="str">
        <f t="shared" si="56"/>
        <v/>
      </c>
    </row>
    <row r="3407" spans="1:2" x14ac:dyDescent="0.25">
      <c r="A3407" s="8"/>
      <c r="B3407" s="8" t="str">
        <f t="shared" si="56"/>
        <v/>
      </c>
    </row>
    <row r="3408" spans="1:2" x14ac:dyDescent="0.25">
      <c r="A3408" s="8"/>
      <c r="B3408" s="8" t="str">
        <f t="shared" si="56"/>
        <v/>
      </c>
    </row>
    <row r="3409" spans="1:2" x14ac:dyDescent="0.25">
      <c r="A3409" s="8"/>
      <c r="B3409" s="8" t="str">
        <f t="shared" si="56"/>
        <v/>
      </c>
    </row>
    <row r="3410" spans="1:2" x14ac:dyDescent="0.25">
      <c r="A3410" s="8"/>
      <c r="B3410" s="8" t="str">
        <f t="shared" si="56"/>
        <v/>
      </c>
    </row>
    <row r="3411" spans="1:2" x14ac:dyDescent="0.25">
      <c r="A3411" s="8"/>
      <c r="B3411" s="8" t="str">
        <f t="shared" si="56"/>
        <v/>
      </c>
    </row>
    <row r="3412" spans="1:2" x14ac:dyDescent="0.25">
      <c r="A3412" s="8"/>
      <c r="B3412" s="8" t="str">
        <f t="shared" si="56"/>
        <v/>
      </c>
    </row>
    <row r="3413" spans="1:2" x14ac:dyDescent="0.25">
      <c r="A3413" s="8"/>
      <c r="B3413" s="8" t="str">
        <f t="shared" si="56"/>
        <v/>
      </c>
    </row>
    <row r="3414" spans="1:2" x14ac:dyDescent="0.25">
      <c r="A3414" s="8"/>
      <c r="B3414" s="8" t="str">
        <f t="shared" si="56"/>
        <v/>
      </c>
    </row>
    <row r="3415" spans="1:2" x14ac:dyDescent="0.25">
      <c r="A3415" s="8"/>
      <c r="B3415" s="8" t="str">
        <f t="shared" si="56"/>
        <v/>
      </c>
    </row>
    <row r="3416" spans="1:2" x14ac:dyDescent="0.25">
      <c r="A3416" s="8"/>
      <c r="B3416" s="8" t="str">
        <f t="shared" si="56"/>
        <v/>
      </c>
    </row>
    <row r="3417" spans="1:2" x14ac:dyDescent="0.25">
      <c r="A3417" s="8"/>
      <c r="B3417" s="8" t="str">
        <f t="shared" si="56"/>
        <v/>
      </c>
    </row>
    <row r="3418" spans="1:2" x14ac:dyDescent="0.25">
      <c r="A3418" s="8"/>
      <c r="B3418" s="8" t="str">
        <f t="shared" si="56"/>
        <v/>
      </c>
    </row>
    <row r="3419" spans="1:2" x14ac:dyDescent="0.25">
      <c r="A3419" s="8"/>
      <c r="B3419" s="8" t="str">
        <f t="shared" si="56"/>
        <v/>
      </c>
    </row>
    <row r="3420" spans="1:2" x14ac:dyDescent="0.25">
      <c r="A3420" s="8"/>
      <c r="B3420" s="8" t="str">
        <f t="shared" si="56"/>
        <v/>
      </c>
    </row>
    <row r="3421" spans="1:2" x14ac:dyDescent="0.25">
      <c r="A3421" s="8"/>
      <c r="B3421" s="8" t="str">
        <f t="shared" si="56"/>
        <v/>
      </c>
    </row>
    <row r="3422" spans="1:2" x14ac:dyDescent="0.25">
      <c r="A3422" s="8"/>
      <c r="B3422" s="8" t="str">
        <f t="shared" si="56"/>
        <v/>
      </c>
    </row>
    <row r="3423" spans="1:2" x14ac:dyDescent="0.25">
      <c r="A3423" s="8"/>
      <c r="B3423" s="8" t="str">
        <f t="shared" si="56"/>
        <v/>
      </c>
    </row>
    <row r="3424" spans="1:2" x14ac:dyDescent="0.25">
      <c r="A3424" s="8"/>
      <c r="B3424" s="8" t="str">
        <f t="shared" si="56"/>
        <v/>
      </c>
    </row>
    <row r="3425" spans="1:2" x14ac:dyDescent="0.25">
      <c r="A3425" s="8"/>
      <c r="B3425" s="8" t="str">
        <f t="shared" si="56"/>
        <v/>
      </c>
    </row>
    <row r="3426" spans="1:2" x14ac:dyDescent="0.25">
      <c r="A3426" s="8"/>
      <c r="B3426" s="8" t="str">
        <f t="shared" si="56"/>
        <v/>
      </c>
    </row>
    <row r="3427" spans="1:2" x14ac:dyDescent="0.25">
      <c r="A3427" s="8"/>
      <c r="B3427" s="8" t="str">
        <f t="shared" si="56"/>
        <v/>
      </c>
    </row>
    <row r="3428" spans="1:2" x14ac:dyDescent="0.25">
      <c r="A3428" s="8"/>
      <c r="B3428" s="8" t="str">
        <f t="shared" si="56"/>
        <v/>
      </c>
    </row>
    <row r="3429" spans="1:2" x14ac:dyDescent="0.25">
      <c r="A3429" s="8"/>
      <c r="B3429" s="8" t="str">
        <f t="shared" si="56"/>
        <v/>
      </c>
    </row>
    <row r="3430" spans="1:2" x14ac:dyDescent="0.25">
      <c r="A3430" s="8"/>
      <c r="B3430" s="8" t="str">
        <f t="shared" si="56"/>
        <v/>
      </c>
    </row>
    <row r="3431" spans="1:2" x14ac:dyDescent="0.25">
      <c r="A3431" s="8"/>
      <c r="B3431" s="8" t="str">
        <f t="shared" si="56"/>
        <v/>
      </c>
    </row>
    <row r="3432" spans="1:2" x14ac:dyDescent="0.25">
      <c r="A3432" s="8"/>
      <c r="B3432" s="8" t="str">
        <f t="shared" si="56"/>
        <v/>
      </c>
    </row>
    <row r="3433" spans="1:2" x14ac:dyDescent="0.25">
      <c r="A3433" s="8"/>
      <c r="B3433" s="8" t="str">
        <f t="shared" si="56"/>
        <v/>
      </c>
    </row>
    <row r="3434" spans="1:2" x14ac:dyDescent="0.25">
      <c r="A3434" s="8"/>
      <c r="B3434" s="8" t="str">
        <f t="shared" si="56"/>
        <v/>
      </c>
    </row>
    <row r="3435" spans="1:2" x14ac:dyDescent="0.25">
      <c r="A3435" s="8"/>
      <c r="B3435" s="8" t="str">
        <f t="shared" si="56"/>
        <v/>
      </c>
    </row>
    <row r="3436" spans="1:2" x14ac:dyDescent="0.25">
      <c r="A3436" s="8"/>
      <c r="B3436" s="8" t="str">
        <f t="shared" si="56"/>
        <v/>
      </c>
    </row>
    <row r="3437" spans="1:2" x14ac:dyDescent="0.25">
      <c r="A3437" s="8"/>
      <c r="B3437" s="8" t="str">
        <f t="shared" si="56"/>
        <v/>
      </c>
    </row>
    <row r="3438" spans="1:2" x14ac:dyDescent="0.25">
      <c r="A3438" s="8"/>
      <c r="B3438" s="8" t="str">
        <f t="shared" si="56"/>
        <v/>
      </c>
    </row>
    <row r="3439" spans="1:2" x14ac:dyDescent="0.25">
      <c r="A3439" s="8"/>
      <c r="B3439" s="8" t="str">
        <f t="shared" si="56"/>
        <v/>
      </c>
    </row>
    <row r="3440" spans="1:2" x14ac:dyDescent="0.25">
      <c r="A3440" s="8"/>
      <c r="B3440" s="8" t="str">
        <f t="shared" si="56"/>
        <v/>
      </c>
    </row>
    <row r="3441" spans="1:2" x14ac:dyDescent="0.25">
      <c r="A3441" s="8"/>
      <c r="B3441" s="8" t="str">
        <f t="shared" si="56"/>
        <v/>
      </c>
    </row>
    <row r="3442" spans="1:2" x14ac:dyDescent="0.25">
      <c r="A3442" s="8"/>
      <c r="B3442" s="8" t="str">
        <f t="shared" si="56"/>
        <v/>
      </c>
    </row>
    <row r="3443" spans="1:2" x14ac:dyDescent="0.25">
      <c r="A3443" s="8"/>
      <c r="B3443" s="8" t="str">
        <f t="shared" si="56"/>
        <v/>
      </c>
    </row>
    <row r="3444" spans="1:2" x14ac:dyDescent="0.25">
      <c r="A3444" s="8"/>
      <c r="B3444" s="8" t="str">
        <f t="shared" si="56"/>
        <v/>
      </c>
    </row>
    <row r="3445" spans="1:2" x14ac:dyDescent="0.25">
      <c r="A3445" s="8"/>
      <c r="B3445" s="8" t="str">
        <f t="shared" si="56"/>
        <v/>
      </c>
    </row>
    <row r="3446" spans="1:2" x14ac:dyDescent="0.25">
      <c r="A3446" s="8"/>
      <c r="B3446" s="8" t="str">
        <f t="shared" si="56"/>
        <v/>
      </c>
    </row>
    <row r="3447" spans="1:2" x14ac:dyDescent="0.25">
      <c r="A3447" s="8"/>
      <c r="B3447" s="8" t="str">
        <f t="shared" si="56"/>
        <v/>
      </c>
    </row>
    <row r="3448" spans="1:2" x14ac:dyDescent="0.25">
      <c r="A3448" s="8"/>
      <c r="B3448" s="8" t="str">
        <f t="shared" si="56"/>
        <v/>
      </c>
    </row>
    <row r="3449" spans="1:2" x14ac:dyDescent="0.25">
      <c r="A3449" s="8"/>
      <c r="B3449" s="8" t="str">
        <f t="shared" si="56"/>
        <v/>
      </c>
    </row>
    <row r="3450" spans="1:2" x14ac:dyDescent="0.25">
      <c r="A3450" s="8"/>
      <c r="B3450" s="8" t="str">
        <f t="shared" si="56"/>
        <v/>
      </c>
    </row>
    <row r="3451" spans="1:2" x14ac:dyDescent="0.25">
      <c r="A3451" s="8"/>
      <c r="B3451" s="8" t="str">
        <f t="shared" si="56"/>
        <v/>
      </c>
    </row>
    <row r="3452" spans="1:2" x14ac:dyDescent="0.25">
      <c r="A3452" s="8"/>
      <c r="B3452" s="8" t="str">
        <f t="shared" si="56"/>
        <v/>
      </c>
    </row>
    <row r="3453" spans="1:2" x14ac:dyDescent="0.25">
      <c r="A3453" s="8"/>
      <c r="B3453" s="8" t="str">
        <f t="shared" si="56"/>
        <v/>
      </c>
    </row>
    <row r="3454" spans="1:2" x14ac:dyDescent="0.25">
      <c r="A3454" s="8"/>
      <c r="B3454" s="8" t="str">
        <f t="shared" si="56"/>
        <v/>
      </c>
    </row>
    <row r="3455" spans="1:2" x14ac:dyDescent="0.25">
      <c r="A3455" s="8"/>
      <c r="B3455" s="8" t="str">
        <f t="shared" si="56"/>
        <v/>
      </c>
    </row>
    <row r="3456" spans="1:2" x14ac:dyDescent="0.25">
      <c r="A3456" s="8"/>
      <c r="B3456" s="8" t="str">
        <f t="shared" si="56"/>
        <v/>
      </c>
    </row>
    <row r="3457" spans="1:2" x14ac:dyDescent="0.25">
      <c r="A3457" s="8"/>
      <c r="B3457" s="8" t="str">
        <f t="shared" si="56"/>
        <v/>
      </c>
    </row>
    <row r="3458" spans="1:2" x14ac:dyDescent="0.25">
      <c r="A3458" s="8"/>
      <c r="B3458" s="8" t="str">
        <f t="shared" si="56"/>
        <v/>
      </c>
    </row>
    <row r="3459" spans="1:2" x14ac:dyDescent="0.25">
      <c r="A3459" s="8"/>
      <c r="B3459" s="8" t="str">
        <f t="shared" si="56"/>
        <v/>
      </c>
    </row>
    <row r="3460" spans="1:2" x14ac:dyDescent="0.25">
      <c r="A3460" s="8"/>
      <c r="B3460" s="8" t="str">
        <f t="shared" ref="B3460:B3523" si="57">IF(A3460=0,"",41824+(ROUNDUP(DAYS360(41824,A3460)/7,0)*7))</f>
        <v/>
      </c>
    </row>
    <row r="3461" spans="1:2" x14ac:dyDescent="0.25">
      <c r="A3461" s="8"/>
      <c r="B3461" s="8" t="str">
        <f t="shared" si="57"/>
        <v/>
      </c>
    </row>
    <row r="3462" spans="1:2" x14ac:dyDescent="0.25">
      <c r="A3462" s="8"/>
      <c r="B3462" s="8" t="str">
        <f t="shared" si="57"/>
        <v/>
      </c>
    </row>
    <row r="3463" spans="1:2" x14ac:dyDescent="0.25">
      <c r="A3463" s="8"/>
      <c r="B3463" s="8" t="str">
        <f t="shared" si="57"/>
        <v/>
      </c>
    </row>
    <row r="3464" spans="1:2" x14ac:dyDescent="0.25">
      <c r="A3464" s="8"/>
      <c r="B3464" s="8" t="str">
        <f t="shared" si="57"/>
        <v/>
      </c>
    </row>
    <row r="3465" spans="1:2" x14ac:dyDescent="0.25">
      <c r="A3465" s="8"/>
      <c r="B3465" s="8" t="str">
        <f t="shared" si="57"/>
        <v/>
      </c>
    </row>
    <row r="3466" spans="1:2" x14ac:dyDescent="0.25">
      <c r="A3466" s="8"/>
      <c r="B3466" s="8" t="str">
        <f t="shared" si="57"/>
        <v/>
      </c>
    </row>
    <row r="3467" spans="1:2" x14ac:dyDescent="0.25">
      <c r="A3467" s="8"/>
      <c r="B3467" s="8" t="str">
        <f t="shared" si="57"/>
        <v/>
      </c>
    </row>
    <row r="3468" spans="1:2" x14ac:dyDescent="0.25">
      <c r="A3468" s="8"/>
      <c r="B3468" s="8" t="str">
        <f t="shared" si="57"/>
        <v/>
      </c>
    </row>
    <row r="3469" spans="1:2" x14ac:dyDescent="0.25">
      <c r="A3469" s="8"/>
      <c r="B3469" s="8" t="str">
        <f t="shared" si="57"/>
        <v/>
      </c>
    </row>
    <row r="3470" spans="1:2" x14ac:dyDescent="0.25">
      <c r="A3470" s="8"/>
      <c r="B3470" s="8" t="str">
        <f t="shared" si="57"/>
        <v/>
      </c>
    </row>
    <row r="3471" spans="1:2" x14ac:dyDescent="0.25">
      <c r="A3471" s="8"/>
      <c r="B3471" s="8" t="str">
        <f t="shared" si="57"/>
        <v/>
      </c>
    </row>
    <row r="3472" spans="1:2" x14ac:dyDescent="0.25">
      <c r="A3472" s="8"/>
      <c r="B3472" s="8" t="str">
        <f t="shared" si="57"/>
        <v/>
      </c>
    </row>
    <row r="3473" spans="1:2" x14ac:dyDescent="0.25">
      <c r="A3473" s="8"/>
      <c r="B3473" s="8" t="str">
        <f t="shared" si="57"/>
        <v/>
      </c>
    </row>
    <row r="3474" spans="1:2" x14ac:dyDescent="0.25">
      <c r="A3474" s="8"/>
      <c r="B3474" s="8" t="str">
        <f t="shared" si="57"/>
        <v/>
      </c>
    </row>
    <row r="3475" spans="1:2" x14ac:dyDescent="0.25">
      <c r="A3475" s="8"/>
      <c r="B3475" s="8" t="str">
        <f t="shared" si="57"/>
        <v/>
      </c>
    </row>
    <row r="3476" spans="1:2" x14ac:dyDescent="0.25">
      <c r="A3476" s="8"/>
      <c r="B3476" s="8" t="str">
        <f t="shared" si="57"/>
        <v/>
      </c>
    </row>
    <row r="3477" spans="1:2" x14ac:dyDescent="0.25">
      <c r="A3477" s="8"/>
      <c r="B3477" s="8" t="str">
        <f t="shared" si="57"/>
        <v/>
      </c>
    </row>
    <row r="3478" spans="1:2" x14ac:dyDescent="0.25">
      <c r="A3478" s="8"/>
      <c r="B3478" s="8" t="str">
        <f t="shared" si="57"/>
        <v/>
      </c>
    </row>
    <row r="3479" spans="1:2" x14ac:dyDescent="0.25">
      <c r="A3479" s="8"/>
      <c r="B3479" s="8" t="str">
        <f t="shared" si="57"/>
        <v/>
      </c>
    </row>
    <row r="3480" spans="1:2" x14ac:dyDescent="0.25">
      <c r="A3480" s="8"/>
      <c r="B3480" s="8" t="str">
        <f t="shared" si="57"/>
        <v/>
      </c>
    </row>
    <row r="3481" spans="1:2" x14ac:dyDescent="0.25">
      <c r="A3481" s="8"/>
      <c r="B3481" s="8" t="str">
        <f t="shared" si="57"/>
        <v/>
      </c>
    </row>
    <row r="3482" spans="1:2" x14ac:dyDescent="0.25">
      <c r="A3482" s="8"/>
      <c r="B3482" s="8" t="str">
        <f t="shared" si="57"/>
        <v/>
      </c>
    </row>
    <row r="3483" spans="1:2" x14ac:dyDescent="0.25">
      <c r="A3483" s="8"/>
      <c r="B3483" s="8" t="str">
        <f t="shared" si="57"/>
        <v/>
      </c>
    </row>
    <row r="3484" spans="1:2" x14ac:dyDescent="0.25">
      <c r="A3484" s="8"/>
      <c r="B3484" s="8" t="str">
        <f t="shared" si="57"/>
        <v/>
      </c>
    </row>
    <row r="3485" spans="1:2" x14ac:dyDescent="0.25">
      <c r="A3485" s="8"/>
      <c r="B3485" s="8" t="str">
        <f t="shared" si="57"/>
        <v/>
      </c>
    </row>
    <row r="3486" spans="1:2" x14ac:dyDescent="0.25">
      <c r="A3486" s="8"/>
      <c r="B3486" s="8" t="str">
        <f t="shared" si="57"/>
        <v/>
      </c>
    </row>
    <row r="3487" spans="1:2" x14ac:dyDescent="0.25">
      <c r="A3487" s="8"/>
      <c r="B3487" s="8" t="str">
        <f t="shared" si="57"/>
        <v/>
      </c>
    </row>
    <row r="3488" spans="1:2" x14ac:dyDescent="0.25">
      <c r="A3488" s="8"/>
      <c r="B3488" s="8" t="str">
        <f t="shared" si="57"/>
        <v/>
      </c>
    </row>
    <row r="3489" spans="1:2" x14ac:dyDescent="0.25">
      <c r="A3489" s="8"/>
      <c r="B3489" s="8" t="str">
        <f t="shared" si="57"/>
        <v/>
      </c>
    </row>
    <row r="3490" spans="1:2" x14ac:dyDescent="0.25">
      <c r="A3490" s="8"/>
      <c r="B3490" s="8" t="str">
        <f t="shared" si="57"/>
        <v/>
      </c>
    </row>
    <row r="3491" spans="1:2" x14ac:dyDescent="0.25">
      <c r="A3491" s="8"/>
      <c r="B3491" s="8" t="str">
        <f t="shared" si="57"/>
        <v/>
      </c>
    </row>
    <row r="3492" spans="1:2" x14ac:dyDescent="0.25">
      <c r="A3492" s="8"/>
      <c r="B3492" s="8" t="str">
        <f t="shared" si="57"/>
        <v/>
      </c>
    </row>
    <row r="3493" spans="1:2" x14ac:dyDescent="0.25">
      <c r="A3493" s="8"/>
      <c r="B3493" s="8" t="str">
        <f t="shared" si="57"/>
        <v/>
      </c>
    </row>
    <row r="3494" spans="1:2" x14ac:dyDescent="0.25">
      <c r="A3494" s="8"/>
      <c r="B3494" s="8" t="str">
        <f t="shared" si="57"/>
        <v/>
      </c>
    </row>
    <row r="3495" spans="1:2" x14ac:dyDescent="0.25">
      <c r="A3495" s="8"/>
      <c r="B3495" s="8" t="str">
        <f t="shared" si="57"/>
        <v/>
      </c>
    </row>
    <row r="3496" spans="1:2" x14ac:dyDescent="0.25">
      <c r="A3496" s="8"/>
      <c r="B3496" s="8" t="str">
        <f t="shared" si="57"/>
        <v/>
      </c>
    </row>
    <row r="3497" spans="1:2" x14ac:dyDescent="0.25">
      <c r="A3497" s="8"/>
      <c r="B3497" s="8" t="str">
        <f t="shared" si="57"/>
        <v/>
      </c>
    </row>
    <row r="3498" spans="1:2" x14ac:dyDescent="0.25">
      <c r="A3498" s="8"/>
      <c r="B3498" s="8" t="str">
        <f t="shared" si="57"/>
        <v/>
      </c>
    </row>
    <row r="3499" spans="1:2" x14ac:dyDescent="0.25">
      <c r="A3499" s="8"/>
      <c r="B3499" s="8" t="str">
        <f t="shared" si="57"/>
        <v/>
      </c>
    </row>
    <row r="3500" spans="1:2" x14ac:dyDescent="0.25">
      <c r="A3500" s="8"/>
      <c r="B3500" s="8" t="str">
        <f t="shared" si="57"/>
        <v/>
      </c>
    </row>
    <row r="3501" spans="1:2" x14ac:dyDescent="0.25">
      <c r="A3501" s="8"/>
      <c r="B3501" s="8" t="str">
        <f t="shared" si="57"/>
        <v/>
      </c>
    </row>
    <row r="3502" spans="1:2" x14ac:dyDescent="0.25">
      <c r="A3502" s="8"/>
      <c r="B3502" s="8" t="str">
        <f t="shared" si="57"/>
        <v/>
      </c>
    </row>
    <row r="3503" spans="1:2" x14ac:dyDescent="0.25">
      <c r="A3503" s="8"/>
      <c r="B3503" s="8" t="str">
        <f t="shared" si="57"/>
        <v/>
      </c>
    </row>
    <row r="3504" spans="1:2" x14ac:dyDescent="0.25">
      <c r="A3504" s="8"/>
      <c r="B3504" s="8" t="str">
        <f t="shared" si="57"/>
        <v/>
      </c>
    </row>
    <row r="3505" spans="1:2" x14ac:dyDescent="0.25">
      <c r="A3505" s="8"/>
      <c r="B3505" s="8" t="str">
        <f t="shared" si="57"/>
        <v/>
      </c>
    </row>
    <row r="3506" spans="1:2" x14ac:dyDescent="0.25">
      <c r="A3506" s="8"/>
      <c r="B3506" s="8" t="str">
        <f t="shared" si="57"/>
        <v/>
      </c>
    </row>
    <row r="3507" spans="1:2" x14ac:dyDescent="0.25">
      <c r="A3507" s="8"/>
      <c r="B3507" s="8" t="str">
        <f t="shared" si="57"/>
        <v/>
      </c>
    </row>
    <row r="3508" spans="1:2" x14ac:dyDescent="0.25">
      <c r="A3508" s="8"/>
      <c r="B3508" s="8" t="str">
        <f t="shared" si="57"/>
        <v/>
      </c>
    </row>
    <row r="3509" spans="1:2" x14ac:dyDescent="0.25">
      <c r="A3509" s="8"/>
      <c r="B3509" s="8" t="str">
        <f t="shared" si="57"/>
        <v/>
      </c>
    </row>
    <row r="3510" spans="1:2" x14ac:dyDescent="0.25">
      <c r="A3510" s="8"/>
      <c r="B3510" s="8" t="str">
        <f t="shared" si="57"/>
        <v/>
      </c>
    </row>
    <row r="3511" spans="1:2" x14ac:dyDescent="0.25">
      <c r="A3511" s="8"/>
      <c r="B3511" s="8" t="str">
        <f t="shared" si="57"/>
        <v/>
      </c>
    </row>
    <row r="3512" spans="1:2" x14ac:dyDescent="0.25">
      <c r="A3512" s="8"/>
      <c r="B3512" s="8" t="str">
        <f t="shared" si="57"/>
        <v/>
      </c>
    </row>
    <row r="3513" spans="1:2" x14ac:dyDescent="0.25">
      <c r="A3513" s="8"/>
      <c r="B3513" s="8" t="str">
        <f t="shared" si="57"/>
        <v/>
      </c>
    </row>
    <row r="3514" spans="1:2" x14ac:dyDescent="0.25">
      <c r="A3514" s="8"/>
      <c r="B3514" s="8" t="str">
        <f t="shared" si="57"/>
        <v/>
      </c>
    </row>
    <row r="3515" spans="1:2" x14ac:dyDescent="0.25">
      <c r="A3515" s="8"/>
      <c r="B3515" s="8" t="str">
        <f t="shared" si="57"/>
        <v/>
      </c>
    </row>
    <row r="3516" spans="1:2" x14ac:dyDescent="0.25">
      <c r="A3516" s="8"/>
      <c r="B3516" s="8" t="str">
        <f t="shared" si="57"/>
        <v/>
      </c>
    </row>
    <row r="3517" spans="1:2" x14ac:dyDescent="0.25">
      <c r="A3517" s="8"/>
      <c r="B3517" s="8" t="str">
        <f t="shared" si="57"/>
        <v/>
      </c>
    </row>
    <row r="3518" spans="1:2" x14ac:dyDescent="0.25">
      <c r="A3518" s="8"/>
      <c r="B3518" s="8" t="str">
        <f t="shared" si="57"/>
        <v/>
      </c>
    </row>
    <row r="3519" spans="1:2" x14ac:dyDescent="0.25">
      <c r="A3519" s="8"/>
      <c r="B3519" s="8" t="str">
        <f t="shared" si="57"/>
        <v/>
      </c>
    </row>
    <row r="3520" spans="1:2" x14ac:dyDescent="0.25">
      <c r="A3520" s="8"/>
      <c r="B3520" s="8" t="str">
        <f t="shared" si="57"/>
        <v/>
      </c>
    </row>
    <row r="3521" spans="1:2" x14ac:dyDescent="0.25">
      <c r="A3521" s="8"/>
      <c r="B3521" s="8" t="str">
        <f t="shared" si="57"/>
        <v/>
      </c>
    </row>
    <row r="3522" spans="1:2" x14ac:dyDescent="0.25">
      <c r="A3522" s="8"/>
      <c r="B3522" s="8" t="str">
        <f t="shared" si="57"/>
        <v/>
      </c>
    </row>
    <row r="3523" spans="1:2" x14ac:dyDescent="0.25">
      <c r="A3523" s="8"/>
      <c r="B3523" s="8" t="str">
        <f t="shared" si="57"/>
        <v/>
      </c>
    </row>
    <row r="3524" spans="1:2" x14ac:dyDescent="0.25">
      <c r="A3524" s="8"/>
      <c r="B3524" s="8" t="str">
        <f t="shared" ref="B3524:B3587" si="58">IF(A3524=0,"",41824+(ROUNDUP(DAYS360(41824,A3524)/7,0)*7))</f>
        <v/>
      </c>
    </row>
    <row r="3525" spans="1:2" x14ac:dyDescent="0.25">
      <c r="A3525" s="8"/>
      <c r="B3525" s="8" t="str">
        <f t="shared" si="58"/>
        <v/>
      </c>
    </row>
    <row r="3526" spans="1:2" x14ac:dyDescent="0.25">
      <c r="A3526" s="8"/>
      <c r="B3526" s="8" t="str">
        <f t="shared" si="58"/>
        <v/>
      </c>
    </row>
    <row r="3527" spans="1:2" x14ac:dyDescent="0.25">
      <c r="A3527" s="8"/>
      <c r="B3527" s="8" t="str">
        <f t="shared" si="58"/>
        <v/>
      </c>
    </row>
    <row r="3528" spans="1:2" x14ac:dyDescent="0.25">
      <c r="A3528" s="8"/>
      <c r="B3528" s="8" t="str">
        <f t="shared" si="58"/>
        <v/>
      </c>
    </row>
    <row r="3529" spans="1:2" x14ac:dyDescent="0.25">
      <c r="A3529" s="8"/>
      <c r="B3529" s="8" t="str">
        <f t="shared" si="58"/>
        <v/>
      </c>
    </row>
    <row r="3530" spans="1:2" x14ac:dyDescent="0.25">
      <c r="A3530" s="8"/>
      <c r="B3530" s="8" t="str">
        <f t="shared" si="58"/>
        <v/>
      </c>
    </row>
    <row r="3531" spans="1:2" x14ac:dyDescent="0.25">
      <c r="A3531" s="8"/>
      <c r="B3531" s="8" t="str">
        <f t="shared" si="58"/>
        <v/>
      </c>
    </row>
    <row r="3532" spans="1:2" x14ac:dyDescent="0.25">
      <c r="A3532" s="8"/>
      <c r="B3532" s="8" t="str">
        <f t="shared" si="58"/>
        <v/>
      </c>
    </row>
    <row r="3533" spans="1:2" x14ac:dyDescent="0.25">
      <c r="A3533" s="8"/>
      <c r="B3533" s="8" t="str">
        <f t="shared" si="58"/>
        <v/>
      </c>
    </row>
    <row r="3534" spans="1:2" x14ac:dyDescent="0.25">
      <c r="A3534" s="8"/>
      <c r="B3534" s="8" t="str">
        <f t="shared" si="58"/>
        <v/>
      </c>
    </row>
    <row r="3535" spans="1:2" x14ac:dyDescent="0.25">
      <c r="A3535" s="8"/>
      <c r="B3535" s="8" t="str">
        <f t="shared" si="58"/>
        <v/>
      </c>
    </row>
    <row r="3536" spans="1:2" x14ac:dyDescent="0.25">
      <c r="A3536" s="8"/>
      <c r="B3536" s="8" t="str">
        <f t="shared" si="58"/>
        <v/>
      </c>
    </row>
    <row r="3537" spans="1:2" x14ac:dyDescent="0.25">
      <c r="A3537" s="8"/>
      <c r="B3537" s="8" t="str">
        <f t="shared" si="58"/>
        <v/>
      </c>
    </row>
    <row r="3538" spans="1:2" x14ac:dyDescent="0.25">
      <c r="A3538" s="8"/>
      <c r="B3538" s="8" t="str">
        <f t="shared" si="58"/>
        <v/>
      </c>
    </row>
    <row r="3539" spans="1:2" x14ac:dyDescent="0.25">
      <c r="A3539" s="8"/>
      <c r="B3539" s="8" t="str">
        <f t="shared" si="58"/>
        <v/>
      </c>
    </row>
    <row r="3540" spans="1:2" x14ac:dyDescent="0.25">
      <c r="A3540" s="8"/>
      <c r="B3540" s="8" t="str">
        <f t="shared" si="58"/>
        <v/>
      </c>
    </row>
    <row r="3541" spans="1:2" x14ac:dyDescent="0.25">
      <c r="A3541" s="8"/>
      <c r="B3541" s="8" t="str">
        <f t="shared" si="58"/>
        <v/>
      </c>
    </row>
    <row r="3542" spans="1:2" x14ac:dyDescent="0.25">
      <c r="A3542" s="8"/>
      <c r="B3542" s="8" t="str">
        <f t="shared" si="58"/>
        <v/>
      </c>
    </row>
    <row r="3543" spans="1:2" x14ac:dyDescent="0.25">
      <c r="A3543" s="8"/>
      <c r="B3543" s="8" t="str">
        <f t="shared" si="58"/>
        <v/>
      </c>
    </row>
    <row r="3544" spans="1:2" x14ac:dyDescent="0.25">
      <c r="A3544" s="8"/>
      <c r="B3544" s="8" t="str">
        <f t="shared" si="58"/>
        <v/>
      </c>
    </row>
    <row r="3545" spans="1:2" x14ac:dyDescent="0.25">
      <c r="A3545" s="8"/>
      <c r="B3545" s="8" t="str">
        <f t="shared" si="58"/>
        <v/>
      </c>
    </row>
    <row r="3546" spans="1:2" x14ac:dyDescent="0.25">
      <c r="A3546" s="8"/>
      <c r="B3546" s="8" t="str">
        <f t="shared" si="58"/>
        <v/>
      </c>
    </row>
    <row r="3547" spans="1:2" x14ac:dyDescent="0.25">
      <c r="A3547" s="8"/>
      <c r="B3547" s="8" t="str">
        <f t="shared" si="58"/>
        <v/>
      </c>
    </row>
    <row r="3548" spans="1:2" x14ac:dyDescent="0.25">
      <c r="A3548" s="8"/>
      <c r="B3548" s="8" t="str">
        <f t="shared" si="58"/>
        <v/>
      </c>
    </row>
    <row r="3549" spans="1:2" x14ac:dyDescent="0.25">
      <c r="A3549" s="8"/>
      <c r="B3549" s="8" t="str">
        <f t="shared" si="58"/>
        <v/>
      </c>
    </row>
    <row r="3550" spans="1:2" x14ac:dyDescent="0.25">
      <c r="A3550" s="8"/>
      <c r="B3550" s="8" t="str">
        <f t="shared" si="58"/>
        <v/>
      </c>
    </row>
    <row r="3551" spans="1:2" x14ac:dyDescent="0.25">
      <c r="A3551" s="8"/>
      <c r="B3551" s="8" t="str">
        <f t="shared" si="58"/>
        <v/>
      </c>
    </row>
    <row r="3552" spans="1:2" x14ac:dyDescent="0.25">
      <c r="A3552" s="8"/>
      <c r="B3552" s="8" t="str">
        <f t="shared" si="58"/>
        <v/>
      </c>
    </row>
    <row r="3553" spans="1:2" x14ac:dyDescent="0.25">
      <c r="A3553" s="8"/>
      <c r="B3553" s="8" t="str">
        <f t="shared" si="58"/>
        <v/>
      </c>
    </row>
    <row r="3554" spans="1:2" x14ac:dyDescent="0.25">
      <c r="A3554" s="8"/>
      <c r="B3554" s="8" t="str">
        <f t="shared" si="58"/>
        <v/>
      </c>
    </row>
    <row r="3555" spans="1:2" x14ac:dyDescent="0.25">
      <c r="A3555" s="8"/>
      <c r="B3555" s="8" t="str">
        <f t="shared" si="58"/>
        <v/>
      </c>
    </row>
    <row r="3556" spans="1:2" x14ac:dyDescent="0.25">
      <c r="A3556" s="8"/>
      <c r="B3556" s="8" t="str">
        <f t="shared" si="58"/>
        <v/>
      </c>
    </row>
    <row r="3557" spans="1:2" x14ac:dyDescent="0.25">
      <c r="A3557" s="8"/>
      <c r="B3557" s="8" t="str">
        <f t="shared" si="58"/>
        <v/>
      </c>
    </row>
    <row r="3558" spans="1:2" x14ac:dyDescent="0.25">
      <c r="A3558" s="8"/>
      <c r="B3558" s="8" t="str">
        <f t="shared" si="58"/>
        <v/>
      </c>
    </row>
    <row r="3559" spans="1:2" x14ac:dyDescent="0.25">
      <c r="A3559" s="8"/>
      <c r="B3559" s="8" t="str">
        <f t="shared" si="58"/>
        <v/>
      </c>
    </row>
    <row r="3560" spans="1:2" x14ac:dyDescent="0.25">
      <c r="A3560" s="8"/>
      <c r="B3560" s="8" t="str">
        <f t="shared" si="58"/>
        <v/>
      </c>
    </row>
    <row r="3561" spans="1:2" x14ac:dyDescent="0.25">
      <c r="A3561" s="8"/>
      <c r="B3561" s="8" t="str">
        <f t="shared" si="58"/>
        <v/>
      </c>
    </row>
    <row r="3562" spans="1:2" x14ac:dyDescent="0.25">
      <c r="A3562" s="8"/>
      <c r="B3562" s="8" t="str">
        <f t="shared" si="58"/>
        <v/>
      </c>
    </row>
    <row r="3563" spans="1:2" x14ac:dyDescent="0.25">
      <c r="A3563" s="8"/>
      <c r="B3563" s="8" t="str">
        <f t="shared" si="58"/>
        <v/>
      </c>
    </row>
    <row r="3564" spans="1:2" x14ac:dyDescent="0.25">
      <c r="A3564" s="8"/>
      <c r="B3564" s="8" t="str">
        <f t="shared" si="58"/>
        <v/>
      </c>
    </row>
    <row r="3565" spans="1:2" x14ac:dyDescent="0.25">
      <c r="A3565" s="8"/>
      <c r="B3565" s="8" t="str">
        <f t="shared" si="58"/>
        <v/>
      </c>
    </row>
    <row r="3566" spans="1:2" x14ac:dyDescent="0.25">
      <c r="A3566" s="8"/>
      <c r="B3566" s="8" t="str">
        <f t="shared" si="58"/>
        <v/>
      </c>
    </row>
    <row r="3567" spans="1:2" x14ac:dyDescent="0.25">
      <c r="A3567" s="8"/>
      <c r="B3567" s="8" t="str">
        <f t="shared" si="58"/>
        <v/>
      </c>
    </row>
    <row r="3568" spans="1:2" x14ac:dyDescent="0.25">
      <c r="A3568" s="8"/>
      <c r="B3568" s="8" t="str">
        <f t="shared" si="58"/>
        <v/>
      </c>
    </row>
    <row r="3569" spans="1:2" x14ac:dyDescent="0.25">
      <c r="A3569" s="8"/>
      <c r="B3569" s="8" t="str">
        <f t="shared" si="58"/>
        <v/>
      </c>
    </row>
    <row r="3570" spans="1:2" x14ac:dyDescent="0.25">
      <c r="A3570" s="8"/>
      <c r="B3570" s="8" t="str">
        <f t="shared" si="58"/>
        <v/>
      </c>
    </row>
    <row r="3571" spans="1:2" x14ac:dyDescent="0.25">
      <c r="A3571" s="8"/>
      <c r="B3571" s="8" t="str">
        <f t="shared" si="58"/>
        <v/>
      </c>
    </row>
    <row r="3572" spans="1:2" x14ac:dyDescent="0.25">
      <c r="A3572" s="8"/>
      <c r="B3572" s="8" t="str">
        <f t="shared" si="58"/>
        <v/>
      </c>
    </row>
    <row r="3573" spans="1:2" x14ac:dyDescent="0.25">
      <c r="A3573" s="8"/>
      <c r="B3573" s="8" t="str">
        <f t="shared" si="58"/>
        <v/>
      </c>
    </row>
    <row r="3574" spans="1:2" x14ac:dyDescent="0.25">
      <c r="A3574" s="8"/>
      <c r="B3574" s="8" t="str">
        <f t="shared" si="58"/>
        <v/>
      </c>
    </row>
    <row r="3575" spans="1:2" x14ac:dyDescent="0.25">
      <c r="A3575" s="8"/>
      <c r="B3575" s="8" t="str">
        <f t="shared" si="58"/>
        <v/>
      </c>
    </row>
    <row r="3576" spans="1:2" x14ac:dyDescent="0.25">
      <c r="A3576" s="8"/>
      <c r="B3576" s="8" t="str">
        <f t="shared" si="58"/>
        <v/>
      </c>
    </row>
    <row r="3577" spans="1:2" x14ac:dyDescent="0.25">
      <c r="A3577" s="8"/>
      <c r="B3577" s="8" t="str">
        <f t="shared" si="58"/>
        <v/>
      </c>
    </row>
    <row r="3578" spans="1:2" x14ac:dyDescent="0.25">
      <c r="A3578" s="8"/>
      <c r="B3578" s="8" t="str">
        <f t="shared" si="58"/>
        <v/>
      </c>
    </row>
    <row r="3579" spans="1:2" x14ac:dyDescent="0.25">
      <c r="A3579" s="8"/>
      <c r="B3579" s="8" t="str">
        <f t="shared" si="58"/>
        <v/>
      </c>
    </row>
    <row r="3580" spans="1:2" x14ac:dyDescent="0.25">
      <c r="A3580" s="8"/>
      <c r="B3580" s="8" t="str">
        <f t="shared" si="58"/>
        <v/>
      </c>
    </row>
    <row r="3581" spans="1:2" x14ac:dyDescent="0.25">
      <c r="A3581" s="8"/>
      <c r="B3581" s="8" t="str">
        <f t="shared" si="58"/>
        <v/>
      </c>
    </row>
    <row r="3582" spans="1:2" x14ac:dyDescent="0.25">
      <c r="A3582" s="8"/>
      <c r="B3582" s="8" t="str">
        <f t="shared" si="58"/>
        <v/>
      </c>
    </row>
    <row r="3583" spans="1:2" x14ac:dyDescent="0.25">
      <c r="A3583" s="8"/>
      <c r="B3583" s="8" t="str">
        <f t="shared" si="58"/>
        <v/>
      </c>
    </row>
    <row r="3584" spans="1:2" x14ac:dyDescent="0.25">
      <c r="A3584" s="8"/>
      <c r="B3584" s="8" t="str">
        <f t="shared" si="58"/>
        <v/>
      </c>
    </row>
    <row r="3585" spans="1:2" x14ac:dyDescent="0.25">
      <c r="A3585" s="8"/>
      <c r="B3585" s="8" t="str">
        <f t="shared" si="58"/>
        <v/>
      </c>
    </row>
    <row r="3586" spans="1:2" x14ac:dyDescent="0.25">
      <c r="A3586" s="8"/>
      <c r="B3586" s="8" t="str">
        <f t="shared" si="58"/>
        <v/>
      </c>
    </row>
    <row r="3587" spans="1:2" x14ac:dyDescent="0.25">
      <c r="A3587" s="8"/>
      <c r="B3587" s="8" t="str">
        <f t="shared" si="58"/>
        <v/>
      </c>
    </row>
    <row r="3588" spans="1:2" x14ac:dyDescent="0.25">
      <c r="A3588" s="8"/>
      <c r="B3588" s="8" t="str">
        <f t="shared" ref="B3588:B3651" si="59">IF(A3588=0,"",41824+(ROUNDUP(DAYS360(41824,A3588)/7,0)*7))</f>
        <v/>
      </c>
    </row>
    <row r="3589" spans="1:2" x14ac:dyDescent="0.25">
      <c r="A3589" s="8"/>
      <c r="B3589" s="8" t="str">
        <f t="shared" si="59"/>
        <v/>
      </c>
    </row>
    <row r="3590" spans="1:2" x14ac:dyDescent="0.25">
      <c r="A3590" s="8"/>
      <c r="B3590" s="8" t="str">
        <f t="shared" si="59"/>
        <v/>
      </c>
    </row>
    <row r="3591" spans="1:2" x14ac:dyDescent="0.25">
      <c r="A3591" s="8"/>
      <c r="B3591" s="8" t="str">
        <f t="shared" si="59"/>
        <v/>
      </c>
    </row>
    <row r="3592" spans="1:2" x14ac:dyDescent="0.25">
      <c r="A3592" s="8"/>
      <c r="B3592" s="8" t="str">
        <f t="shared" si="59"/>
        <v/>
      </c>
    </row>
    <row r="3593" spans="1:2" x14ac:dyDescent="0.25">
      <c r="A3593" s="8"/>
      <c r="B3593" s="8" t="str">
        <f t="shared" si="59"/>
        <v/>
      </c>
    </row>
    <row r="3594" spans="1:2" x14ac:dyDescent="0.25">
      <c r="A3594" s="8"/>
      <c r="B3594" s="8" t="str">
        <f t="shared" si="59"/>
        <v/>
      </c>
    </row>
    <row r="3595" spans="1:2" x14ac:dyDescent="0.25">
      <c r="A3595" s="8"/>
      <c r="B3595" s="8" t="str">
        <f t="shared" si="59"/>
        <v/>
      </c>
    </row>
    <row r="3596" spans="1:2" x14ac:dyDescent="0.25">
      <c r="A3596" s="8"/>
      <c r="B3596" s="8" t="str">
        <f t="shared" si="59"/>
        <v/>
      </c>
    </row>
    <row r="3597" spans="1:2" x14ac:dyDescent="0.25">
      <c r="A3597" s="8"/>
      <c r="B3597" s="8" t="str">
        <f t="shared" si="59"/>
        <v/>
      </c>
    </row>
    <row r="3598" spans="1:2" x14ac:dyDescent="0.25">
      <c r="A3598" s="8"/>
      <c r="B3598" s="8" t="str">
        <f t="shared" si="59"/>
        <v/>
      </c>
    </row>
    <row r="3599" spans="1:2" x14ac:dyDescent="0.25">
      <c r="A3599" s="8"/>
      <c r="B3599" s="8" t="str">
        <f t="shared" si="59"/>
        <v/>
      </c>
    </row>
    <row r="3600" spans="1:2" x14ac:dyDescent="0.25">
      <c r="A3600" s="8"/>
      <c r="B3600" s="8" t="str">
        <f t="shared" si="59"/>
        <v/>
      </c>
    </row>
    <row r="3601" spans="1:2" x14ac:dyDescent="0.25">
      <c r="A3601" s="8"/>
      <c r="B3601" s="8" t="str">
        <f t="shared" si="59"/>
        <v/>
      </c>
    </row>
    <row r="3602" spans="1:2" x14ac:dyDescent="0.25">
      <c r="A3602" s="8"/>
      <c r="B3602" s="8" t="str">
        <f t="shared" si="59"/>
        <v/>
      </c>
    </row>
    <row r="3603" spans="1:2" x14ac:dyDescent="0.25">
      <c r="A3603" s="8"/>
      <c r="B3603" s="8" t="str">
        <f t="shared" si="59"/>
        <v/>
      </c>
    </row>
    <row r="3604" spans="1:2" x14ac:dyDescent="0.25">
      <c r="A3604" s="8"/>
      <c r="B3604" s="8" t="str">
        <f t="shared" si="59"/>
        <v/>
      </c>
    </row>
    <row r="3605" spans="1:2" x14ac:dyDescent="0.25">
      <c r="A3605" s="8"/>
      <c r="B3605" s="8" t="str">
        <f t="shared" si="59"/>
        <v/>
      </c>
    </row>
    <row r="3606" spans="1:2" x14ac:dyDescent="0.25">
      <c r="A3606" s="8"/>
      <c r="B3606" s="8" t="str">
        <f t="shared" si="59"/>
        <v/>
      </c>
    </row>
    <row r="3607" spans="1:2" x14ac:dyDescent="0.25">
      <c r="A3607" s="8"/>
      <c r="B3607" s="8" t="str">
        <f t="shared" si="59"/>
        <v/>
      </c>
    </row>
    <row r="3608" spans="1:2" x14ac:dyDescent="0.25">
      <c r="A3608" s="8"/>
      <c r="B3608" s="8" t="str">
        <f t="shared" si="59"/>
        <v/>
      </c>
    </row>
    <row r="3609" spans="1:2" x14ac:dyDescent="0.25">
      <c r="A3609" s="8"/>
      <c r="B3609" s="8" t="str">
        <f t="shared" si="59"/>
        <v/>
      </c>
    </row>
    <row r="3610" spans="1:2" x14ac:dyDescent="0.25">
      <c r="A3610" s="8"/>
      <c r="B3610" s="8" t="str">
        <f t="shared" si="59"/>
        <v/>
      </c>
    </row>
    <row r="3611" spans="1:2" x14ac:dyDescent="0.25">
      <c r="A3611" s="8"/>
      <c r="B3611" s="8" t="str">
        <f t="shared" si="59"/>
        <v/>
      </c>
    </row>
    <row r="3612" spans="1:2" x14ac:dyDescent="0.25">
      <c r="A3612" s="8"/>
      <c r="B3612" s="8" t="str">
        <f t="shared" si="59"/>
        <v/>
      </c>
    </row>
    <row r="3613" spans="1:2" x14ac:dyDescent="0.25">
      <c r="A3613" s="8"/>
      <c r="B3613" s="8" t="str">
        <f t="shared" si="59"/>
        <v/>
      </c>
    </row>
    <row r="3614" spans="1:2" x14ac:dyDescent="0.25">
      <c r="A3614" s="8"/>
      <c r="B3614" s="8" t="str">
        <f t="shared" si="59"/>
        <v/>
      </c>
    </row>
    <row r="3615" spans="1:2" x14ac:dyDescent="0.25">
      <c r="A3615" s="8"/>
      <c r="B3615" s="8" t="str">
        <f t="shared" si="59"/>
        <v/>
      </c>
    </row>
    <row r="3616" spans="1:2" x14ac:dyDescent="0.25">
      <c r="A3616" s="8"/>
      <c r="B3616" s="8" t="str">
        <f t="shared" si="59"/>
        <v/>
      </c>
    </row>
    <row r="3617" spans="1:2" x14ac:dyDescent="0.25">
      <c r="A3617" s="8"/>
      <c r="B3617" s="8" t="str">
        <f t="shared" si="59"/>
        <v/>
      </c>
    </row>
    <row r="3618" spans="1:2" x14ac:dyDescent="0.25">
      <c r="A3618" s="8"/>
      <c r="B3618" s="8" t="str">
        <f t="shared" si="59"/>
        <v/>
      </c>
    </row>
    <row r="3619" spans="1:2" x14ac:dyDescent="0.25">
      <c r="A3619" s="8"/>
      <c r="B3619" s="8" t="str">
        <f t="shared" si="59"/>
        <v/>
      </c>
    </row>
    <row r="3620" spans="1:2" x14ac:dyDescent="0.25">
      <c r="A3620" s="8"/>
      <c r="B3620" s="8" t="str">
        <f t="shared" si="59"/>
        <v/>
      </c>
    </row>
    <row r="3621" spans="1:2" x14ac:dyDescent="0.25">
      <c r="A3621" s="8"/>
      <c r="B3621" s="8" t="str">
        <f t="shared" si="59"/>
        <v/>
      </c>
    </row>
    <row r="3622" spans="1:2" x14ac:dyDescent="0.25">
      <c r="A3622" s="8"/>
      <c r="B3622" s="8" t="str">
        <f t="shared" si="59"/>
        <v/>
      </c>
    </row>
    <row r="3623" spans="1:2" x14ac:dyDescent="0.25">
      <c r="A3623" s="8"/>
      <c r="B3623" s="8" t="str">
        <f t="shared" si="59"/>
        <v/>
      </c>
    </row>
    <row r="3624" spans="1:2" x14ac:dyDescent="0.25">
      <c r="A3624" s="8"/>
      <c r="B3624" s="8" t="str">
        <f t="shared" si="59"/>
        <v/>
      </c>
    </row>
    <row r="3625" spans="1:2" x14ac:dyDescent="0.25">
      <c r="A3625" s="8"/>
      <c r="B3625" s="8" t="str">
        <f t="shared" si="59"/>
        <v/>
      </c>
    </row>
    <row r="3626" spans="1:2" x14ac:dyDescent="0.25">
      <c r="A3626" s="8"/>
      <c r="B3626" s="8" t="str">
        <f t="shared" si="59"/>
        <v/>
      </c>
    </row>
    <row r="3627" spans="1:2" x14ac:dyDescent="0.25">
      <c r="A3627" s="8"/>
      <c r="B3627" s="8" t="str">
        <f t="shared" si="59"/>
        <v/>
      </c>
    </row>
    <row r="3628" spans="1:2" x14ac:dyDescent="0.25">
      <c r="A3628" s="8"/>
      <c r="B3628" s="8" t="str">
        <f t="shared" si="59"/>
        <v/>
      </c>
    </row>
    <row r="3629" spans="1:2" x14ac:dyDescent="0.25">
      <c r="A3629" s="8"/>
      <c r="B3629" s="8" t="str">
        <f t="shared" si="59"/>
        <v/>
      </c>
    </row>
    <row r="3630" spans="1:2" x14ac:dyDescent="0.25">
      <c r="A3630" s="8"/>
      <c r="B3630" s="8" t="str">
        <f t="shared" si="59"/>
        <v/>
      </c>
    </row>
    <row r="3631" spans="1:2" x14ac:dyDescent="0.25">
      <c r="A3631" s="8"/>
      <c r="B3631" s="8" t="str">
        <f t="shared" si="59"/>
        <v/>
      </c>
    </row>
    <row r="3632" spans="1:2" x14ac:dyDescent="0.25">
      <c r="A3632" s="8"/>
      <c r="B3632" s="8" t="str">
        <f t="shared" si="59"/>
        <v/>
      </c>
    </row>
    <row r="3633" spans="1:2" x14ac:dyDescent="0.25">
      <c r="A3633" s="8"/>
      <c r="B3633" s="8" t="str">
        <f t="shared" si="59"/>
        <v/>
      </c>
    </row>
    <row r="3634" spans="1:2" x14ac:dyDescent="0.25">
      <c r="A3634" s="8"/>
      <c r="B3634" s="8" t="str">
        <f t="shared" si="59"/>
        <v/>
      </c>
    </row>
    <row r="3635" spans="1:2" x14ac:dyDescent="0.25">
      <c r="A3635" s="8"/>
      <c r="B3635" s="8" t="str">
        <f t="shared" si="59"/>
        <v/>
      </c>
    </row>
    <row r="3636" spans="1:2" x14ac:dyDescent="0.25">
      <c r="A3636" s="8"/>
      <c r="B3636" s="8" t="str">
        <f t="shared" si="59"/>
        <v/>
      </c>
    </row>
    <row r="3637" spans="1:2" x14ac:dyDescent="0.25">
      <c r="A3637" s="8"/>
      <c r="B3637" s="8" t="str">
        <f t="shared" si="59"/>
        <v/>
      </c>
    </row>
    <row r="3638" spans="1:2" x14ac:dyDescent="0.25">
      <c r="A3638" s="8"/>
      <c r="B3638" s="8" t="str">
        <f t="shared" si="59"/>
        <v/>
      </c>
    </row>
    <row r="3639" spans="1:2" x14ac:dyDescent="0.25">
      <c r="A3639" s="8"/>
      <c r="B3639" s="8" t="str">
        <f t="shared" si="59"/>
        <v/>
      </c>
    </row>
    <row r="3640" spans="1:2" x14ac:dyDescent="0.25">
      <c r="A3640" s="8"/>
      <c r="B3640" s="8" t="str">
        <f t="shared" si="59"/>
        <v/>
      </c>
    </row>
    <row r="3641" spans="1:2" x14ac:dyDescent="0.25">
      <c r="A3641" s="8"/>
      <c r="B3641" s="8" t="str">
        <f t="shared" si="59"/>
        <v/>
      </c>
    </row>
    <row r="3642" spans="1:2" x14ac:dyDescent="0.25">
      <c r="A3642" s="8"/>
      <c r="B3642" s="8" t="str">
        <f t="shared" si="59"/>
        <v/>
      </c>
    </row>
    <row r="3643" spans="1:2" x14ac:dyDescent="0.25">
      <c r="A3643" s="8"/>
      <c r="B3643" s="8" t="str">
        <f t="shared" si="59"/>
        <v/>
      </c>
    </row>
    <row r="3644" spans="1:2" x14ac:dyDescent="0.25">
      <c r="A3644" s="8"/>
      <c r="B3644" s="8" t="str">
        <f t="shared" si="59"/>
        <v/>
      </c>
    </row>
    <row r="3645" spans="1:2" x14ac:dyDescent="0.25">
      <c r="A3645" s="8"/>
      <c r="B3645" s="8" t="str">
        <f t="shared" si="59"/>
        <v/>
      </c>
    </row>
    <row r="3646" spans="1:2" x14ac:dyDescent="0.25">
      <c r="A3646" s="8"/>
      <c r="B3646" s="8" t="str">
        <f t="shared" si="59"/>
        <v/>
      </c>
    </row>
    <row r="3647" spans="1:2" x14ac:dyDescent="0.25">
      <c r="A3647" s="8"/>
      <c r="B3647" s="8" t="str">
        <f t="shared" si="59"/>
        <v/>
      </c>
    </row>
    <row r="3648" spans="1:2" x14ac:dyDescent="0.25">
      <c r="A3648" s="8"/>
      <c r="B3648" s="8" t="str">
        <f t="shared" si="59"/>
        <v/>
      </c>
    </row>
    <row r="3649" spans="1:2" x14ac:dyDescent="0.25">
      <c r="A3649" s="8"/>
      <c r="B3649" s="8" t="str">
        <f t="shared" si="59"/>
        <v/>
      </c>
    </row>
    <row r="3650" spans="1:2" x14ac:dyDescent="0.25">
      <c r="A3650" s="8"/>
      <c r="B3650" s="8" t="str">
        <f t="shared" si="59"/>
        <v/>
      </c>
    </row>
    <row r="3651" spans="1:2" x14ac:dyDescent="0.25">
      <c r="A3651" s="8"/>
      <c r="B3651" s="8" t="str">
        <f t="shared" si="59"/>
        <v/>
      </c>
    </row>
    <row r="3652" spans="1:2" x14ac:dyDescent="0.25">
      <c r="A3652" s="8"/>
      <c r="B3652" s="8" t="str">
        <f t="shared" ref="B3652:B3715" si="60">IF(A3652=0,"",41824+(ROUNDUP(DAYS360(41824,A3652)/7,0)*7))</f>
        <v/>
      </c>
    </row>
    <row r="3653" spans="1:2" x14ac:dyDescent="0.25">
      <c r="A3653" s="8"/>
      <c r="B3653" s="8" t="str">
        <f t="shared" si="60"/>
        <v/>
      </c>
    </row>
    <row r="3654" spans="1:2" x14ac:dyDescent="0.25">
      <c r="A3654" s="8"/>
      <c r="B3654" s="8" t="str">
        <f t="shared" si="60"/>
        <v/>
      </c>
    </row>
    <row r="3655" spans="1:2" x14ac:dyDescent="0.25">
      <c r="A3655" s="8"/>
      <c r="B3655" s="8" t="str">
        <f t="shared" si="60"/>
        <v/>
      </c>
    </row>
    <row r="3656" spans="1:2" x14ac:dyDescent="0.25">
      <c r="A3656" s="8"/>
      <c r="B3656" s="8" t="str">
        <f t="shared" si="60"/>
        <v/>
      </c>
    </row>
    <row r="3657" spans="1:2" x14ac:dyDescent="0.25">
      <c r="A3657" s="8"/>
      <c r="B3657" s="8" t="str">
        <f t="shared" si="60"/>
        <v/>
      </c>
    </row>
    <row r="3658" spans="1:2" x14ac:dyDescent="0.25">
      <c r="A3658" s="8"/>
      <c r="B3658" s="8" t="str">
        <f t="shared" si="60"/>
        <v/>
      </c>
    </row>
    <row r="3659" spans="1:2" x14ac:dyDescent="0.25">
      <c r="A3659" s="8"/>
      <c r="B3659" s="8" t="str">
        <f t="shared" si="60"/>
        <v/>
      </c>
    </row>
    <row r="3660" spans="1:2" x14ac:dyDescent="0.25">
      <c r="A3660" s="8"/>
      <c r="B3660" s="8" t="str">
        <f t="shared" si="60"/>
        <v/>
      </c>
    </row>
    <row r="3661" spans="1:2" x14ac:dyDescent="0.25">
      <c r="A3661" s="8"/>
      <c r="B3661" s="8" t="str">
        <f t="shared" si="60"/>
        <v/>
      </c>
    </row>
    <row r="3662" spans="1:2" x14ac:dyDescent="0.25">
      <c r="A3662" s="8"/>
      <c r="B3662" s="8" t="str">
        <f t="shared" si="60"/>
        <v/>
      </c>
    </row>
    <row r="3663" spans="1:2" x14ac:dyDescent="0.25">
      <c r="A3663" s="8"/>
      <c r="B3663" s="8" t="str">
        <f t="shared" si="60"/>
        <v/>
      </c>
    </row>
    <row r="3664" spans="1:2" x14ac:dyDescent="0.25">
      <c r="A3664" s="8"/>
      <c r="B3664" s="8" t="str">
        <f t="shared" si="60"/>
        <v/>
      </c>
    </row>
    <row r="3665" spans="1:2" x14ac:dyDescent="0.25">
      <c r="A3665" s="8"/>
      <c r="B3665" s="8" t="str">
        <f t="shared" si="60"/>
        <v/>
      </c>
    </row>
    <row r="3666" spans="1:2" x14ac:dyDescent="0.25">
      <c r="A3666" s="8"/>
      <c r="B3666" s="8" t="str">
        <f t="shared" si="60"/>
        <v/>
      </c>
    </row>
    <row r="3667" spans="1:2" x14ac:dyDescent="0.25">
      <c r="A3667" s="8"/>
      <c r="B3667" s="8" t="str">
        <f t="shared" si="60"/>
        <v/>
      </c>
    </row>
    <row r="3668" spans="1:2" x14ac:dyDescent="0.25">
      <c r="A3668" s="8"/>
      <c r="B3668" s="8" t="str">
        <f t="shared" si="60"/>
        <v/>
      </c>
    </row>
    <row r="3669" spans="1:2" x14ac:dyDescent="0.25">
      <c r="A3669" s="8"/>
      <c r="B3669" s="8" t="str">
        <f t="shared" si="60"/>
        <v/>
      </c>
    </row>
    <row r="3670" spans="1:2" x14ac:dyDescent="0.25">
      <c r="A3670" s="8"/>
      <c r="B3670" s="8" t="str">
        <f t="shared" si="60"/>
        <v/>
      </c>
    </row>
    <row r="3671" spans="1:2" x14ac:dyDescent="0.25">
      <c r="A3671" s="8"/>
      <c r="B3671" s="8" t="str">
        <f t="shared" si="60"/>
        <v/>
      </c>
    </row>
    <row r="3672" spans="1:2" x14ac:dyDescent="0.25">
      <c r="A3672" s="8"/>
      <c r="B3672" s="8" t="str">
        <f t="shared" si="60"/>
        <v/>
      </c>
    </row>
    <row r="3673" spans="1:2" x14ac:dyDescent="0.25">
      <c r="A3673" s="8"/>
      <c r="B3673" s="8" t="str">
        <f t="shared" si="60"/>
        <v/>
      </c>
    </row>
    <row r="3674" spans="1:2" x14ac:dyDescent="0.25">
      <c r="A3674" s="8"/>
      <c r="B3674" s="8" t="str">
        <f t="shared" si="60"/>
        <v/>
      </c>
    </row>
    <row r="3675" spans="1:2" x14ac:dyDescent="0.25">
      <c r="A3675" s="8"/>
      <c r="B3675" s="8" t="str">
        <f t="shared" si="60"/>
        <v/>
      </c>
    </row>
    <row r="3676" spans="1:2" x14ac:dyDescent="0.25">
      <c r="A3676" s="8"/>
      <c r="B3676" s="8" t="str">
        <f t="shared" si="60"/>
        <v/>
      </c>
    </row>
    <row r="3677" spans="1:2" x14ac:dyDescent="0.25">
      <c r="A3677" s="8"/>
      <c r="B3677" s="8" t="str">
        <f t="shared" si="60"/>
        <v/>
      </c>
    </row>
    <row r="3678" spans="1:2" x14ac:dyDescent="0.25">
      <c r="A3678" s="8"/>
      <c r="B3678" s="8" t="str">
        <f t="shared" si="60"/>
        <v/>
      </c>
    </row>
    <row r="3679" spans="1:2" x14ac:dyDescent="0.25">
      <c r="A3679" s="8"/>
      <c r="B3679" s="8" t="str">
        <f t="shared" si="60"/>
        <v/>
      </c>
    </row>
    <row r="3680" spans="1:2" x14ac:dyDescent="0.25">
      <c r="A3680" s="8"/>
      <c r="B3680" s="8" t="str">
        <f t="shared" si="60"/>
        <v/>
      </c>
    </row>
    <row r="3681" spans="1:2" x14ac:dyDescent="0.25">
      <c r="A3681" s="8"/>
      <c r="B3681" s="8" t="str">
        <f t="shared" si="60"/>
        <v/>
      </c>
    </row>
    <row r="3682" spans="1:2" x14ac:dyDescent="0.25">
      <c r="A3682" s="8"/>
      <c r="B3682" s="8" t="str">
        <f t="shared" si="60"/>
        <v/>
      </c>
    </row>
    <row r="3683" spans="1:2" x14ac:dyDescent="0.25">
      <c r="A3683" s="8"/>
      <c r="B3683" s="8" t="str">
        <f t="shared" si="60"/>
        <v/>
      </c>
    </row>
    <row r="3684" spans="1:2" x14ac:dyDescent="0.25">
      <c r="A3684" s="8"/>
      <c r="B3684" s="8" t="str">
        <f t="shared" si="60"/>
        <v/>
      </c>
    </row>
    <row r="3685" spans="1:2" x14ac:dyDescent="0.25">
      <c r="A3685" s="8"/>
      <c r="B3685" s="8" t="str">
        <f t="shared" si="60"/>
        <v/>
      </c>
    </row>
    <row r="3686" spans="1:2" x14ac:dyDescent="0.25">
      <c r="A3686" s="8"/>
      <c r="B3686" s="8" t="str">
        <f t="shared" si="60"/>
        <v/>
      </c>
    </row>
    <row r="3687" spans="1:2" x14ac:dyDescent="0.25">
      <c r="A3687" s="8"/>
      <c r="B3687" s="8" t="str">
        <f t="shared" si="60"/>
        <v/>
      </c>
    </row>
    <row r="3688" spans="1:2" x14ac:dyDescent="0.25">
      <c r="A3688" s="8"/>
      <c r="B3688" s="8" t="str">
        <f t="shared" si="60"/>
        <v/>
      </c>
    </row>
    <row r="3689" spans="1:2" x14ac:dyDescent="0.25">
      <c r="A3689" s="8"/>
      <c r="B3689" s="8" t="str">
        <f t="shared" si="60"/>
        <v/>
      </c>
    </row>
    <row r="3690" spans="1:2" x14ac:dyDescent="0.25">
      <c r="A3690" s="8"/>
      <c r="B3690" s="8" t="str">
        <f t="shared" si="60"/>
        <v/>
      </c>
    </row>
    <row r="3691" spans="1:2" x14ac:dyDescent="0.25">
      <c r="A3691" s="8"/>
      <c r="B3691" s="8" t="str">
        <f t="shared" si="60"/>
        <v/>
      </c>
    </row>
    <row r="3692" spans="1:2" x14ac:dyDescent="0.25">
      <c r="A3692" s="8"/>
      <c r="B3692" s="8" t="str">
        <f t="shared" si="60"/>
        <v/>
      </c>
    </row>
    <row r="3693" spans="1:2" x14ac:dyDescent="0.25">
      <c r="A3693" s="8"/>
      <c r="B3693" s="8" t="str">
        <f t="shared" si="60"/>
        <v/>
      </c>
    </row>
    <row r="3694" spans="1:2" x14ac:dyDescent="0.25">
      <c r="A3694" s="8"/>
      <c r="B3694" s="8" t="str">
        <f t="shared" si="60"/>
        <v/>
      </c>
    </row>
    <row r="3695" spans="1:2" x14ac:dyDescent="0.25">
      <c r="A3695" s="8"/>
      <c r="B3695" s="8" t="str">
        <f t="shared" si="60"/>
        <v/>
      </c>
    </row>
    <row r="3696" spans="1:2" x14ac:dyDescent="0.25">
      <c r="A3696" s="8"/>
      <c r="B3696" s="8" t="str">
        <f t="shared" si="60"/>
        <v/>
      </c>
    </row>
    <row r="3697" spans="1:2" x14ac:dyDescent="0.25">
      <c r="A3697" s="8"/>
      <c r="B3697" s="8" t="str">
        <f t="shared" si="60"/>
        <v/>
      </c>
    </row>
    <row r="3698" spans="1:2" x14ac:dyDescent="0.25">
      <c r="A3698" s="8"/>
      <c r="B3698" s="8" t="str">
        <f t="shared" si="60"/>
        <v/>
      </c>
    </row>
    <row r="3699" spans="1:2" x14ac:dyDescent="0.25">
      <c r="A3699" s="8"/>
      <c r="B3699" s="8" t="str">
        <f t="shared" si="60"/>
        <v/>
      </c>
    </row>
    <row r="3700" spans="1:2" x14ac:dyDescent="0.25">
      <c r="A3700" s="8"/>
      <c r="B3700" s="8" t="str">
        <f t="shared" si="60"/>
        <v/>
      </c>
    </row>
    <row r="3701" spans="1:2" x14ac:dyDescent="0.25">
      <c r="A3701" s="8"/>
      <c r="B3701" s="8" t="str">
        <f t="shared" si="60"/>
        <v/>
      </c>
    </row>
    <row r="3702" spans="1:2" x14ac:dyDescent="0.25">
      <c r="A3702" s="8"/>
      <c r="B3702" s="8" t="str">
        <f t="shared" si="60"/>
        <v/>
      </c>
    </row>
    <row r="3703" spans="1:2" x14ac:dyDescent="0.25">
      <c r="A3703" s="8"/>
      <c r="B3703" s="8" t="str">
        <f t="shared" si="60"/>
        <v/>
      </c>
    </row>
    <row r="3704" spans="1:2" x14ac:dyDescent="0.25">
      <c r="A3704" s="8"/>
      <c r="B3704" s="8" t="str">
        <f t="shared" si="60"/>
        <v/>
      </c>
    </row>
    <row r="3705" spans="1:2" x14ac:dyDescent="0.25">
      <c r="A3705" s="8"/>
      <c r="B3705" s="8" t="str">
        <f t="shared" si="60"/>
        <v/>
      </c>
    </row>
    <row r="3706" spans="1:2" x14ac:dyDescent="0.25">
      <c r="A3706" s="8"/>
      <c r="B3706" s="8" t="str">
        <f t="shared" si="60"/>
        <v/>
      </c>
    </row>
    <row r="3707" spans="1:2" x14ac:dyDescent="0.25">
      <c r="A3707" s="8"/>
      <c r="B3707" s="8" t="str">
        <f t="shared" si="60"/>
        <v/>
      </c>
    </row>
    <row r="3708" spans="1:2" x14ac:dyDescent="0.25">
      <c r="A3708" s="8"/>
      <c r="B3708" s="8" t="str">
        <f t="shared" si="60"/>
        <v/>
      </c>
    </row>
    <row r="3709" spans="1:2" x14ac:dyDescent="0.25">
      <c r="A3709" s="8"/>
      <c r="B3709" s="8" t="str">
        <f t="shared" si="60"/>
        <v/>
      </c>
    </row>
    <row r="3710" spans="1:2" x14ac:dyDescent="0.25">
      <c r="A3710" s="8"/>
      <c r="B3710" s="8" t="str">
        <f t="shared" si="60"/>
        <v/>
      </c>
    </row>
    <row r="3711" spans="1:2" x14ac:dyDescent="0.25">
      <c r="A3711" s="8"/>
      <c r="B3711" s="8" t="str">
        <f t="shared" si="60"/>
        <v/>
      </c>
    </row>
    <row r="3712" spans="1:2" x14ac:dyDescent="0.25">
      <c r="A3712" s="8"/>
      <c r="B3712" s="8" t="str">
        <f t="shared" si="60"/>
        <v/>
      </c>
    </row>
    <row r="3713" spans="1:2" x14ac:dyDescent="0.25">
      <c r="A3713" s="8"/>
      <c r="B3713" s="8" t="str">
        <f t="shared" si="60"/>
        <v/>
      </c>
    </row>
    <row r="3714" spans="1:2" x14ac:dyDescent="0.25">
      <c r="A3714" s="8"/>
      <c r="B3714" s="8" t="str">
        <f t="shared" si="60"/>
        <v/>
      </c>
    </row>
    <row r="3715" spans="1:2" x14ac:dyDescent="0.25">
      <c r="A3715" s="8"/>
      <c r="B3715" s="8" t="str">
        <f t="shared" si="60"/>
        <v/>
      </c>
    </row>
    <row r="3716" spans="1:2" x14ac:dyDescent="0.25">
      <c r="A3716" s="8"/>
      <c r="B3716" s="8" t="str">
        <f t="shared" ref="B3716:B3779" si="61">IF(A3716=0,"",41824+(ROUNDUP(DAYS360(41824,A3716)/7,0)*7))</f>
        <v/>
      </c>
    </row>
    <row r="3717" spans="1:2" x14ac:dyDescent="0.25">
      <c r="A3717" s="8"/>
      <c r="B3717" s="8" t="str">
        <f t="shared" si="61"/>
        <v/>
      </c>
    </row>
    <row r="3718" spans="1:2" x14ac:dyDescent="0.25">
      <c r="A3718" s="8"/>
      <c r="B3718" s="8" t="str">
        <f t="shared" si="61"/>
        <v/>
      </c>
    </row>
    <row r="3719" spans="1:2" x14ac:dyDescent="0.25">
      <c r="A3719" s="8"/>
      <c r="B3719" s="8" t="str">
        <f t="shared" si="61"/>
        <v/>
      </c>
    </row>
    <row r="3720" spans="1:2" x14ac:dyDescent="0.25">
      <c r="A3720" s="8"/>
      <c r="B3720" s="8" t="str">
        <f t="shared" si="61"/>
        <v/>
      </c>
    </row>
    <row r="3721" spans="1:2" x14ac:dyDescent="0.25">
      <c r="A3721" s="8"/>
      <c r="B3721" s="8" t="str">
        <f t="shared" si="61"/>
        <v/>
      </c>
    </row>
    <row r="3722" spans="1:2" x14ac:dyDescent="0.25">
      <c r="A3722" s="8"/>
      <c r="B3722" s="8" t="str">
        <f t="shared" si="61"/>
        <v/>
      </c>
    </row>
    <row r="3723" spans="1:2" x14ac:dyDescent="0.25">
      <c r="A3723" s="8"/>
      <c r="B3723" s="8" t="str">
        <f t="shared" si="61"/>
        <v/>
      </c>
    </row>
    <row r="3724" spans="1:2" x14ac:dyDescent="0.25">
      <c r="A3724" s="8"/>
      <c r="B3724" s="8" t="str">
        <f t="shared" si="61"/>
        <v/>
      </c>
    </row>
    <row r="3725" spans="1:2" x14ac:dyDescent="0.25">
      <c r="A3725" s="8"/>
      <c r="B3725" s="8" t="str">
        <f t="shared" si="61"/>
        <v/>
      </c>
    </row>
    <row r="3726" spans="1:2" x14ac:dyDescent="0.25">
      <c r="A3726" s="8"/>
      <c r="B3726" s="8" t="str">
        <f t="shared" si="61"/>
        <v/>
      </c>
    </row>
    <row r="3727" spans="1:2" x14ac:dyDescent="0.25">
      <c r="A3727" s="8"/>
      <c r="B3727" s="8" t="str">
        <f t="shared" si="61"/>
        <v/>
      </c>
    </row>
    <row r="3728" spans="1:2" x14ac:dyDescent="0.25">
      <c r="A3728" s="8"/>
      <c r="B3728" s="8" t="str">
        <f t="shared" si="61"/>
        <v/>
      </c>
    </row>
    <row r="3729" spans="1:2" x14ac:dyDescent="0.25">
      <c r="A3729" s="8"/>
      <c r="B3729" s="8" t="str">
        <f t="shared" si="61"/>
        <v/>
      </c>
    </row>
    <row r="3730" spans="1:2" x14ac:dyDescent="0.25">
      <c r="A3730" s="8"/>
      <c r="B3730" s="8" t="str">
        <f t="shared" si="61"/>
        <v/>
      </c>
    </row>
    <row r="3731" spans="1:2" x14ac:dyDescent="0.25">
      <c r="A3731" s="8"/>
      <c r="B3731" s="8" t="str">
        <f t="shared" si="61"/>
        <v/>
      </c>
    </row>
    <row r="3732" spans="1:2" x14ac:dyDescent="0.25">
      <c r="A3732" s="8"/>
      <c r="B3732" s="8" t="str">
        <f t="shared" si="61"/>
        <v/>
      </c>
    </row>
    <row r="3733" spans="1:2" x14ac:dyDescent="0.25">
      <c r="A3733" s="8"/>
      <c r="B3733" s="8" t="str">
        <f t="shared" si="61"/>
        <v/>
      </c>
    </row>
    <row r="3734" spans="1:2" x14ac:dyDescent="0.25">
      <c r="A3734" s="8"/>
      <c r="B3734" s="8" t="str">
        <f t="shared" si="61"/>
        <v/>
      </c>
    </row>
    <row r="3735" spans="1:2" x14ac:dyDescent="0.25">
      <c r="A3735" s="8"/>
      <c r="B3735" s="8" t="str">
        <f t="shared" si="61"/>
        <v/>
      </c>
    </row>
    <row r="3736" spans="1:2" x14ac:dyDescent="0.25">
      <c r="A3736" s="8"/>
      <c r="B3736" s="8" t="str">
        <f t="shared" si="61"/>
        <v/>
      </c>
    </row>
    <row r="3737" spans="1:2" x14ac:dyDescent="0.25">
      <c r="A3737" s="8"/>
      <c r="B3737" s="8" t="str">
        <f t="shared" si="61"/>
        <v/>
      </c>
    </row>
    <row r="3738" spans="1:2" x14ac:dyDescent="0.25">
      <c r="A3738" s="8"/>
      <c r="B3738" s="8" t="str">
        <f t="shared" si="61"/>
        <v/>
      </c>
    </row>
    <row r="3739" spans="1:2" x14ac:dyDescent="0.25">
      <c r="A3739" s="8"/>
      <c r="B3739" s="8" t="str">
        <f t="shared" si="61"/>
        <v/>
      </c>
    </row>
    <row r="3740" spans="1:2" x14ac:dyDescent="0.25">
      <c r="A3740" s="8"/>
      <c r="B3740" s="8" t="str">
        <f t="shared" si="61"/>
        <v/>
      </c>
    </row>
    <row r="3741" spans="1:2" x14ac:dyDescent="0.25">
      <c r="A3741" s="8"/>
      <c r="B3741" s="8" t="str">
        <f t="shared" si="61"/>
        <v/>
      </c>
    </row>
    <row r="3742" spans="1:2" x14ac:dyDescent="0.25">
      <c r="A3742" s="8"/>
      <c r="B3742" s="8" t="str">
        <f t="shared" si="61"/>
        <v/>
      </c>
    </row>
    <row r="3743" spans="1:2" x14ac:dyDescent="0.25">
      <c r="A3743" s="8"/>
      <c r="B3743" s="8" t="str">
        <f t="shared" si="61"/>
        <v/>
      </c>
    </row>
    <row r="3744" spans="1:2" x14ac:dyDescent="0.25">
      <c r="A3744" s="8"/>
      <c r="B3744" s="8" t="str">
        <f t="shared" si="61"/>
        <v/>
      </c>
    </row>
    <row r="3745" spans="1:2" x14ac:dyDescent="0.25">
      <c r="A3745" s="8"/>
      <c r="B3745" s="8" t="str">
        <f t="shared" si="61"/>
        <v/>
      </c>
    </row>
    <row r="3746" spans="1:2" x14ac:dyDescent="0.25">
      <c r="A3746" s="8"/>
      <c r="B3746" s="8" t="str">
        <f t="shared" si="61"/>
        <v/>
      </c>
    </row>
    <row r="3747" spans="1:2" x14ac:dyDescent="0.25">
      <c r="A3747" s="8"/>
      <c r="B3747" s="8" t="str">
        <f t="shared" si="61"/>
        <v/>
      </c>
    </row>
    <row r="3748" spans="1:2" x14ac:dyDescent="0.25">
      <c r="A3748" s="8"/>
      <c r="B3748" s="8" t="str">
        <f t="shared" si="61"/>
        <v/>
      </c>
    </row>
    <row r="3749" spans="1:2" x14ac:dyDescent="0.25">
      <c r="A3749" s="8"/>
      <c r="B3749" s="8" t="str">
        <f t="shared" si="61"/>
        <v/>
      </c>
    </row>
    <row r="3750" spans="1:2" x14ac:dyDescent="0.25">
      <c r="A3750" s="8"/>
      <c r="B3750" s="8" t="str">
        <f t="shared" si="61"/>
        <v/>
      </c>
    </row>
    <row r="3751" spans="1:2" x14ac:dyDescent="0.25">
      <c r="A3751" s="8"/>
      <c r="B3751" s="8" t="str">
        <f t="shared" si="61"/>
        <v/>
      </c>
    </row>
    <row r="3752" spans="1:2" x14ac:dyDescent="0.25">
      <c r="A3752" s="8"/>
      <c r="B3752" s="8" t="str">
        <f t="shared" si="61"/>
        <v/>
      </c>
    </row>
    <row r="3753" spans="1:2" x14ac:dyDescent="0.25">
      <c r="A3753" s="8"/>
      <c r="B3753" s="8" t="str">
        <f t="shared" si="61"/>
        <v/>
      </c>
    </row>
    <row r="3754" spans="1:2" x14ac:dyDescent="0.25">
      <c r="A3754" s="8"/>
      <c r="B3754" s="8" t="str">
        <f t="shared" si="61"/>
        <v/>
      </c>
    </row>
    <row r="3755" spans="1:2" x14ac:dyDescent="0.25">
      <c r="A3755" s="8"/>
      <c r="B3755" s="8" t="str">
        <f t="shared" si="61"/>
        <v/>
      </c>
    </row>
    <row r="3756" spans="1:2" x14ac:dyDescent="0.25">
      <c r="A3756" s="8"/>
      <c r="B3756" s="8" t="str">
        <f t="shared" si="61"/>
        <v/>
      </c>
    </row>
    <row r="3757" spans="1:2" x14ac:dyDescent="0.25">
      <c r="A3757" s="8"/>
      <c r="B3757" s="8" t="str">
        <f t="shared" si="61"/>
        <v/>
      </c>
    </row>
    <row r="3758" spans="1:2" x14ac:dyDescent="0.25">
      <c r="A3758" s="8"/>
      <c r="B3758" s="8" t="str">
        <f t="shared" si="61"/>
        <v/>
      </c>
    </row>
    <row r="3759" spans="1:2" x14ac:dyDescent="0.25">
      <c r="A3759" s="8"/>
      <c r="B3759" s="8" t="str">
        <f t="shared" si="61"/>
        <v/>
      </c>
    </row>
    <row r="3760" spans="1:2" x14ac:dyDescent="0.25">
      <c r="A3760" s="8"/>
      <c r="B3760" s="8" t="str">
        <f t="shared" si="61"/>
        <v/>
      </c>
    </row>
    <row r="3761" spans="1:2" x14ac:dyDescent="0.25">
      <c r="A3761" s="8"/>
      <c r="B3761" s="8" t="str">
        <f t="shared" si="61"/>
        <v/>
      </c>
    </row>
    <row r="3762" spans="1:2" x14ac:dyDescent="0.25">
      <c r="A3762" s="8"/>
      <c r="B3762" s="8" t="str">
        <f t="shared" si="61"/>
        <v/>
      </c>
    </row>
    <row r="3763" spans="1:2" x14ac:dyDescent="0.25">
      <c r="A3763" s="8"/>
      <c r="B3763" s="8" t="str">
        <f t="shared" si="61"/>
        <v/>
      </c>
    </row>
    <row r="3764" spans="1:2" x14ac:dyDescent="0.25">
      <c r="A3764" s="8"/>
      <c r="B3764" s="8" t="str">
        <f t="shared" si="61"/>
        <v/>
      </c>
    </row>
    <row r="3765" spans="1:2" x14ac:dyDescent="0.25">
      <c r="A3765" s="8"/>
      <c r="B3765" s="8" t="str">
        <f t="shared" si="61"/>
        <v/>
      </c>
    </row>
    <row r="3766" spans="1:2" x14ac:dyDescent="0.25">
      <c r="A3766" s="8"/>
      <c r="B3766" s="8" t="str">
        <f t="shared" si="61"/>
        <v/>
      </c>
    </row>
    <row r="3767" spans="1:2" x14ac:dyDescent="0.25">
      <c r="A3767" s="8"/>
      <c r="B3767" s="8" t="str">
        <f t="shared" si="61"/>
        <v/>
      </c>
    </row>
    <row r="3768" spans="1:2" x14ac:dyDescent="0.25">
      <c r="A3768" s="8"/>
      <c r="B3768" s="8" t="str">
        <f t="shared" si="61"/>
        <v/>
      </c>
    </row>
    <row r="3769" spans="1:2" x14ac:dyDescent="0.25">
      <c r="A3769" s="8"/>
      <c r="B3769" s="8" t="str">
        <f t="shared" si="61"/>
        <v/>
      </c>
    </row>
    <row r="3770" spans="1:2" x14ac:dyDescent="0.25">
      <c r="A3770" s="8"/>
      <c r="B3770" s="8" t="str">
        <f t="shared" si="61"/>
        <v/>
      </c>
    </row>
    <row r="3771" spans="1:2" x14ac:dyDescent="0.25">
      <c r="A3771" s="8"/>
      <c r="B3771" s="8" t="str">
        <f t="shared" si="61"/>
        <v/>
      </c>
    </row>
    <row r="3772" spans="1:2" x14ac:dyDescent="0.25">
      <c r="A3772" s="8"/>
      <c r="B3772" s="8" t="str">
        <f t="shared" si="61"/>
        <v/>
      </c>
    </row>
    <row r="3773" spans="1:2" x14ac:dyDescent="0.25">
      <c r="A3773" s="8"/>
      <c r="B3773" s="8" t="str">
        <f t="shared" si="61"/>
        <v/>
      </c>
    </row>
    <row r="3774" spans="1:2" x14ac:dyDescent="0.25">
      <c r="A3774" s="8"/>
      <c r="B3774" s="8" t="str">
        <f t="shared" si="61"/>
        <v/>
      </c>
    </row>
    <row r="3775" spans="1:2" x14ac:dyDescent="0.25">
      <c r="A3775" s="8"/>
      <c r="B3775" s="8" t="str">
        <f t="shared" si="61"/>
        <v/>
      </c>
    </row>
    <row r="3776" spans="1:2" x14ac:dyDescent="0.25">
      <c r="A3776" s="8"/>
      <c r="B3776" s="8" t="str">
        <f t="shared" si="61"/>
        <v/>
      </c>
    </row>
    <row r="3777" spans="1:2" x14ac:dyDescent="0.25">
      <c r="A3777" s="8"/>
      <c r="B3777" s="8" t="str">
        <f t="shared" si="61"/>
        <v/>
      </c>
    </row>
    <row r="3778" spans="1:2" x14ac:dyDescent="0.25">
      <c r="A3778" s="8"/>
      <c r="B3778" s="8" t="str">
        <f t="shared" si="61"/>
        <v/>
      </c>
    </row>
    <row r="3779" spans="1:2" x14ac:dyDescent="0.25">
      <c r="A3779" s="8"/>
      <c r="B3779" s="8" t="str">
        <f t="shared" si="61"/>
        <v/>
      </c>
    </row>
    <row r="3780" spans="1:2" x14ac:dyDescent="0.25">
      <c r="A3780" s="8"/>
      <c r="B3780" s="8" t="str">
        <f t="shared" ref="B3780:B3843" si="62">IF(A3780=0,"",41824+(ROUNDUP(DAYS360(41824,A3780)/7,0)*7))</f>
        <v/>
      </c>
    </row>
    <row r="3781" spans="1:2" x14ac:dyDescent="0.25">
      <c r="A3781" s="8"/>
      <c r="B3781" s="8" t="str">
        <f t="shared" si="62"/>
        <v/>
      </c>
    </row>
    <row r="3782" spans="1:2" x14ac:dyDescent="0.25">
      <c r="A3782" s="8"/>
      <c r="B3782" s="8" t="str">
        <f t="shared" si="62"/>
        <v/>
      </c>
    </row>
    <row r="3783" spans="1:2" x14ac:dyDescent="0.25">
      <c r="A3783" s="8"/>
      <c r="B3783" s="8" t="str">
        <f t="shared" si="62"/>
        <v/>
      </c>
    </row>
    <row r="3784" spans="1:2" x14ac:dyDescent="0.25">
      <c r="A3784" s="8"/>
      <c r="B3784" s="8" t="str">
        <f t="shared" si="62"/>
        <v/>
      </c>
    </row>
    <row r="3785" spans="1:2" x14ac:dyDescent="0.25">
      <c r="A3785" s="8"/>
      <c r="B3785" s="8" t="str">
        <f t="shared" si="62"/>
        <v/>
      </c>
    </row>
    <row r="3786" spans="1:2" x14ac:dyDescent="0.25">
      <c r="A3786" s="8"/>
      <c r="B3786" s="8" t="str">
        <f t="shared" si="62"/>
        <v/>
      </c>
    </row>
    <row r="3787" spans="1:2" x14ac:dyDescent="0.25">
      <c r="A3787" s="8"/>
      <c r="B3787" s="8" t="str">
        <f t="shared" si="62"/>
        <v/>
      </c>
    </row>
    <row r="3788" spans="1:2" x14ac:dyDescent="0.25">
      <c r="A3788" s="8"/>
      <c r="B3788" s="8" t="str">
        <f t="shared" si="62"/>
        <v/>
      </c>
    </row>
    <row r="3789" spans="1:2" x14ac:dyDescent="0.25">
      <c r="A3789" s="8"/>
      <c r="B3789" s="8" t="str">
        <f t="shared" si="62"/>
        <v/>
      </c>
    </row>
    <row r="3790" spans="1:2" x14ac:dyDescent="0.25">
      <c r="A3790" s="8"/>
      <c r="B3790" s="8" t="str">
        <f t="shared" si="62"/>
        <v/>
      </c>
    </row>
    <row r="3791" spans="1:2" x14ac:dyDescent="0.25">
      <c r="A3791" s="8"/>
      <c r="B3791" s="8" t="str">
        <f t="shared" si="62"/>
        <v/>
      </c>
    </row>
    <row r="3792" spans="1:2" x14ac:dyDescent="0.25">
      <c r="A3792" s="8"/>
      <c r="B3792" s="8" t="str">
        <f t="shared" si="62"/>
        <v/>
      </c>
    </row>
    <row r="3793" spans="1:2" x14ac:dyDescent="0.25">
      <c r="A3793" s="8"/>
      <c r="B3793" s="8" t="str">
        <f t="shared" si="62"/>
        <v/>
      </c>
    </row>
    <row r="3794" spans="1:2" x14ac:dyDescent="0.25">
      <c r="A3794" s="8"/>
      <c r="B3794" s="8" t="str">
        <f t="shared" si="62"/>
        <v/>
      </c>
    </row>
    <row r="3795" spans="1:2" x14ac:dyDescent="0.25">
      <c r="A3795" s="8"/>
      <c r="B3795" s="8" t="str">
        <f t="shared" si="62"/>
        <v/>
      </c>
    </row>
    <row r="3796" spans="1:2" x14ac:dyDescent="0.25">
      <c r="A3796" s="8"/>
      <c r="B3796" s="8" t="str">
        <f t="shared" si="62"/>
        <v/>
      </c>
    </row>
    <row r="3797" spans="1:2" x14ac:dyDescent="0.25">
      <c r="A3797" s="8"/>
      <c r="B3797" s="8" t="str">
        <f t="shared" si="62"/>
        <v/>
      </c>
    </row>
    <row r="3798" spans="1:2" x14ac:dyDescent="0.25">
      <c r="A3798" s="8"/>
      <c r="B3798" s="8" t="str">
        <f t="shared" si="62"/>
        <v/>
      </c>
    </row>
    <row r="3799" spans="1:2" x14ac:dyDescent="0.25">
      <c r="A3799" s="8"/>
      <c r="B3799" s="8" t="str">
        <f t="shared" si="62"/>
        <v/>
      </c>
    </row>
    <row r="3800" spans="1:2" x14ac:dyDescent="0.25">
      <c r="A3800" s="8"/>
      <c r="B3800" s="8" t="str">
        <f t="shared" si="62"/>
        <v/>
      </c>
    </row>
    <row r="3801" spans="1:2" x14ac:dyDescent="0.25">
      <c r="A3801" s="8"/>
      <c r="B3801" s="8" t="str">
        <f t="shared" si="62"/>
        <v/>
      </c>
    </row>
    <row r="3802" spans="1:2" x14ac:dyDescent="0.25">
      <c r="A3802" s="8"/>
      <c r="B3802" s="8" t="str">
        <f t="shared" si="62"/>
        <v/>
      </c>
    </row>
    <row r="3803" spans="1:2" x14ac:dyDescent="0.25">
      <c r="A3803" s="8"/>
      <c r="B3803" s="8" t="str">
        <f t="shared" si="62"/>
        <v/>
      </c>
    </row>
    <row r="3804" spans="1:2" x14ac:dyDescent="0.25">
      <c r="A3804" s="8"/>
      <c r="B3804" s="8" t="str">
        <f t="shared" si="62"/>
        <v/>
      </c>
    </row>
    <row r="3805" spans="1:2" x14ac:dyDescent="0.25">
      <c r="A3805" s="8"/>
      <c r="B3805" s="8" t="str">
        <f t="shared" si="62"/>
        <v/>
      </c>
    </row>
    <row r="3806" spans="1:2" x14ac:dyDescent="0.25">
      <c r="A3806" s="8"/>
      <c r="B3806" s="8" t="str">
        <f t="shared" si="62"/>
        <v/>
      </c>
    </row>
    <row r="3807" spans="1:2" x14ac:dyDescent="0.25">
      <c r="A3807" s="8"/>
      <c r="B3807" s="8" t="str">
        <f t="shared" si="62"/>
        <v/>
      </c>
    </row>
    <row r="3808" spans="1:2" x14ac:dyDescent="0.25">
      <c r="A3808" s="8"/>
      <c r="B3808" s="8" t="str">
        <f t="shared" si="62"/>
        <v/>
      </c>
    </row>
    <row r="3809" spans="1:2" x14ac:dyDescent="0.25">
      <c r="A3809" s="8"/>
      <c r="B3809" s="8" t="str">
        <f t="shared" si="62"/>
        <v/>
      </c>
    </row>
    <row r="3810" spans="1:2" x14ac:dyDescent="0.25">
      <c r="A3810" s="8"/>
      <c r="B3810" s="8" t="str">
        <f t="shared" si="62"/>
        <v/>
      </c>
    </row>
    <row r="3811" spans="1:2" x14ac:dyDescent="0.25">
      <c r="A3811" s="8"/>
      <c r="B3811" s="8" t="str">
        <f t="shared" si="62"/>
        <v/>
      </c>
    </row>
    <row r="3812" spans="1:2" x14ac:dyDescent="0.25">
      <c r="A3812" s="8"/>
      <c r="B3812" s="8" t="str">
        <f t="shared" si="62"/>
        <v/>
      </c>
    </row>
    <row r="3813" spans="1:2" x14ac:dyDescent="0.25">
      <c r="A3813" s="8"/>
      <c r="B3813" s="8" t="str">
        <f t="shared" si="62"/>
        <v/>
      </c>
    </row>
    <row r="3814" spans="1:2" x14ac:dyDescent="0.25">
      <c r="A3814" s="8"/>
      <c r="B3814" s="8" t="str">
        <f t="shared" si="62"/>
        <v/>
      </c>
    </row>
    <row r="3815" spans="1:2" x14ac:dyDescent="0.25">
      <c r="A3815" s="8"/>
      <c r="B3815" s="8" t="str">
        <f t="shared" si="62"/>
        <v/>
      </c>
    </row>
    <row r="3816" spans="1:2" x14ac:dyDescent="0.25">
      <c r="A3816" s="8"/>
      <c r="B3816" s="8" t="str">
        <f t="shared" si="62"/>
        <v/>
      </c>
    </row>
    <row r="3817" spans="1:2" x14ac:dyDescent="0.25">
      <c r="A3817" s="8"/>
      <c r="B3817" s="8" t="str">
        <f t="shared" si="62"/>
        <v/>
      </c>
    </row>
    <row r="3818" spans="1:2" x14ac:dyDescent="0.25">
      <c r="A3818" s="8"/>
      <c r="B3818" s="8" t="str">
        <f t="shared" si="62"/>
        <v/>
      </c>
    </row>
    <row r="3819" spans="1:2" x14ac:dyDescent="0.25">
      <c r="A3819" s="8"/>
      <c r="B3819" s="8" t="str">
        <f t="shared" si="62"/>
        <v/>
      </c>
    </row>
    <row r="3820" spans="1:2" x14ac:dyDescent="0.25">
      <c r="A3820" s="8"/>
      <c r="B3820" s="8" t="str">
        <f t="shared" si="62"/>
        <v/>
      </c>
    </row>
    <row r="3821" spans="1:2" x14ac:dyDescent="0.25">
      <c r="A3821" s="8"/>
      <c r="B3821" s="8" t="str">
        <f t="shared" si="62"/>
        <v/>
      </c>
    </row>
    <row r="3822" spans="1:2" x14ac:dyDescent="0.25">
      <c r="A3822" s="8"/>
      <c r="B3822" s="8" t="str">
        <f t="shared" si="62"/>
        <v/>
      </c>
    </row>
    <row r="3823" spans="1:2" x14ac:dyDescent="0.25">
      <c r="A3823" s="8"/>
      <c r="B3823" s="8" t="str">
        <f t="shared" si="62"/>
        <v/>
      </c>
    </row>
    <row r="3824" spans="1:2" x14ac:dyDescent="0.25">
      <c r="A3824" s="8"/>
      <c r="B3824" s="8" t="str">
        <f t="shared" si="62"/>
        <v/>
      </c>
    </row>
    <row r="3825" spans="1:2" x14ac:dyDescent="0.25">
      <c r="A3825" s="8"/>
      <c r="B3825" s="8" t="str">
        <f t="shared" si="62"/>
        <v/>
      </c>
    </row>
    <row r="3826" spans="1:2" x14ac:dyDescent="0.25">
      <c r="A3826" s="8"/>
      <c r="B3826" s="8" t="str">
        <f t="shared" si="62"/>
        <v/>
      </c>
    </row>
    <row r="3827" spans="1:2" x14ac:dyDescent="0.25">
      <c r="A3827" s="8"/>
      <c r="B3827" s="8" t="str">
        <f t="shared" si="62"/>
        <v/>
      </c>
    </row>
    <row r="3828" spans="1:2" x14ac:dyDescent="0.25">
      <c r="A3828" s="8"/>
      <c r="B3828" s="8" t="str">
        <f t="shared" si="62"/>
        <v/>
      </c>
    </row>
    <row r="3829" spans="1:2" x14ac:dyDescent="0.25">
      <c r="A3829" s="8"/>
      <c r="B3829" s="8" t="str">
        <f t="shared" si="62"/>
        <v/>
      </c>
    </row>
    <row r="3830" spans="1:2" x14ac:dyDescent="0.25">
      <c r="A3830" s="8"/>
      <c r="B3830" s="8" t="str">
        <f t="shared" si="62"/>
        <v/>
      </c>
    </row>
    <row r="3831" spans="1:2" x14ac:dyDescent="0.25">
      <c r="A3831" s="8"/>
      <c r="B3831" s="8" t="str">
        <f t="shared" si="62"/>
        <v/>
      </c>
    </row>
    <row r="3832" spans="1:2" x14ac:dyDescent="0.25">
      <c r="A3832" s="8"/>
      <c r="B3832" s="8" t="str">
        <f t="shared" si="62"/>
        <v/>
      </c>
    </row>
    <row r="3833" spans="1:2" x14ac:dyDescent="0.25">
      <c r="A3833" s="8"/>
      <c r="B3833" s="8" t="str">
        <f t="shared" si="62"/>
        <v/>
      </c>
    </row>
    <row r="3834" spans="1:2" x14ac:dyDescent="0.25">
      <c r="A3834" s="8"/>
      <c r="B3834" s="8" t="str">
        <f t="shared" si="62"/>
        <v/>
      </c>
    </row>
    <row r="3835" spans="1:2" x14ac:dyDescent="0.25">
      <c r="A3835" s="8"/>
      <c r="B3835" s="8" t="str">
        <f t="shared" si="62"/>
        <v/>
      </c>
    </row>
    <row r="3836" spans="1:2" x14ac:dyDescent="0.25">
      <c r="A3836" s="8"/>
      <c r="B3836" s="8" t="str">
        <f t="shared" si="62"/>
        <v/>
      </c>
    </row>
    <row r="3837" spans="1:2" x14ac:dyDescent="0.25">
      <c r="A3837" s="8"/>
      <c r="B3837" s="8" t="str">
        <f t="shared" si="62"/>
        <v/>
      </c>
    </row>
    <row r="3838" spans="1:2" x14ac:dyDescent="0.25">
      <c r="A3838" s="8"/>
      <c r="B3838" s="8" t="str">
        <f t="shared" si="62"/>
        <v/>
      </c>
    </row>
    <row r="3839" spans="1:2" x14ac:dyDescent="0.25">
      <c r="A3839" s="8"/>
      <c r="B3839" s="8" t="str">
        <f t="shared" si="62"/>
        <v/>
      </c>
    </row>
    <row r="3840" spans="1:2" x14ac:dyDescent="0.25">
      <c r="A3840" s="8"/>
      <c r="B3840" s="8" t="str">
        <f t="shared" si="62"/>
        <v/>
      </c>
    </row>
    <row r="3841" spans="1:2" x14ac:dyDescent="0.25">
      <c r="A3841" s="8"/>
      <c r="B3841" s="8" t="str">
        <f t="shared" si="62"/>
        <v/>
      </c>
    </row>
    <row r="3842" spans="1:2" x14ac:dyDescent="0.25">
      <c r="A3842" s="8"/>
      <c r="B3842" s="8" t="str">
        <f t="shared" si="62"/>
        <v/>
      </c>
    </row>
    <row r="3843" spans="1:2" x14ac:dyDescent="0.25">
      <c r="A3843" s="8"/>
      <c r="B3843" s="8" t="str">
        <f t="shared" si="62"/>
        <v/>
      </c>
    </row>
    <row r="3844" spans="1:2" x14ac:dyDescent="0.25">
      <c r="A3844" s="8"/>
      <c r="B3844" s="8" t="str">
        <f t="shared" ref="B3844:B3907" si="63">IF(A3844=0,"",41824+(ROUNDUP(DAYS360(41824,A3844)/7,0)*7))</f>
        <v/>
      </c>
    </row>
    <row r="3845" spans="1:2" x14ac:dyDescent="0.25">
      <c r="A3845" s="8"/>
      <c r="B3845" s="8" t="str">
        <f t="shared" si="63"/>
        <v/>
      </c>
    </row>
    <row r="3846" spans="1:2" x14ac:dyDescent="0.25">
      <c r="A3846" s="8"/>
      <c r="B3846" s="8" t="str">
        <f t="shared" si="63"/>
        <v/>
      </c>
    </row>
    <row r="3847" spans="1:2" x14ac:dyDescent="0.25">
      <c r="A3847" s="8"/>
      <c r="B3847" s="8" t="str">
        <f t="shared" si="63"/>
        <v/>
      </c>
    </row>
    <row r="3848" spans="1:2" x14ac:dyDescent="0.25">
      <c r="A3848" s="8"/>
      <c r="B3848" s="8" t="str">
        <f t="shared" si="63"/>
        <v/>
      </c>
    </row>
    <row r="3849" spans="1:2" x14ac:dyDescent="0.25">
      <c r="A3849" s="8"/>
      <c r="B3849" s="8" t="str">
        <f t="shared" si="63"/>
        <v/>
      </c>
    </row>
    <row r="3850" spans="1:2" x14ac:dyDescent="0.25">
      <c r="A3850" s="8"/>
      <c r="B3850" s="8" t="str">
        <f t="shared" si="63"/>
        <v/>
      </c>
    </row>
    <row r="3851" spans="1:2" x14ac:dyDescent="0.25">
      <c r="A3851" s="8"/>
      <c r="B3851" s="8" t="str">
        <f t="shared" si="63"/>
        <v/>
      </c>
    </row>
    <row r="3852" spans="1:2" x14ac:dyDescent="0.25">
      <c r="A3852" s="8"/>
      <c r="B3852" s="8" t="str">
        <f t="shared" si="63"/>
        <v/>
      </c>
    </row>
    <row r="3853" spans="1:2" x14ac:dyDescent="0.25">
      <c r="A3853" s="8"/>
      <c r="B3853" s="8" t="str">
        <f t="shared" si="63"/>
        <v/>
      </c>
    </row>
    <row r="3854" spans="1:2" x14ac:dyDescent="0.25">
      <c r="A3854" s="8"/>
      <c r="B3854" s="8" t="str">
        <f t="shared" si="63"/>
        <v/>
      </c>
    </row>
    <row r="3855" spans="1:2" x14ac:dyDescent="0.25">
      <c r="A3855" s="8"/>
      <c r="B3855" s="8" t="str">
        <f t="shared" si="63"/>
        <v/>
      </c>
    </row>
    <row r="3856" spans="1:2" x14ac:dyDescent="0.25">
      <c r="A3856" s="8"/>
      <c r="B3856" s="8" t="str">
        <f t="shared" si="63"/>
        <v/>
      </c>
    </row>
    <row r="3857" spans="1:2" x14ac:dyDescent="0.25">
      <c r="A3857" s="8"/>
      <c r="B3857" s="8" t="str">
        <f t="shared" si="63"/>
        <v/>
      </c>
    </row>
    <row r="3858" spans="1:2" x14ac:dyDescent="0.25">
      <c r="A3858" s="8"/>
      <c r="B3858" s="8" t="str">
        <f t="shared" si="63"/>
        <v/>
      </c>
    </row>
    <row r="3859" spans="1:2" x14ac:dyDescent="0.25">
      <c r="A3859" s="8"/>
      <c r="B3859" s="8" t="str">
        <f t="shared" si="63"/>
        <v/>
      </c>
    </row>
    <row r="3860" spans="1:2" x14ac:dyDescent="0.25">
      <c r="A3860" s="8"/>
      <c r="B3860" s="8" t="str">
        <f t="shared" si="63"/>
        <v/>
      </c>
    </row>
    <row r="3861" spans="1:2" x14ac:dyDescent="0.25">
      <c r="A3861" s="8"/>
      <c r="B3861" s="8" t="str">
        <f t="shared" si="63"/>
        <v/>
      </c>
    </row>
    <row r="3862" spans="1:2" x14ac:dyDescent="0.25">
      <c r="A3862" s="8"/>
      <c r="B3862" s="8" t="str">
        <f t="shared" si="63"/>
        <v/>
      </c>
    </row>
    <row r="3863" spans="1:2" x14ac:dyDescent="0.25">
      <c r="A3863" s="8"/>
      <c r="B3863" s="8" t="str">
        <f t="shared" si="63"/>
        <v/>
      </c>
    </row>
    <row r="3864" spans="1:2" x14ac:dyDescent="0.25">
      <c r="A3864" s="8"/>
      <c r="B3864" s="8" t="str">
        <f t="shared" si="63"/>
        <v/>
      </c>
    </row>
    <row r="3865" spans="1:2" x14ac:dyDescent="0.25">
      <c r="A3865" s="8"/>
      <c r="B3865" s="8" t="str">
        <f t="shared" si="63"/>
        <v/>
      </c>
    </row>
    <row r="3866" spans="1:2" x14ac:dyDescent="0.25">
      <c r="A3866" s="8"/>
      <c r="B3866" s="8" t="str">
        <f t="shared" si="63"/>
        <v/>
      </c>
    </row>
    <row r="3867" spans="1:2" x14ac:dyDescent="0.25">
      <c r="A3867" s="8"/>
      <c r="B3867" s="8" t="str">
        <f t="shared" si="63"/>
        <v/>
      </c>
    </row>
    <row r="3868" spans="1:2" x14ac:dyDescent="0.25">
      <c r="A3868" s="8"/>
      <c r="B3868" s="8" t="str">
        <f t="shared" si="63"/>
        <v/>
      </c>
    </row>
    <row r="3869" spans="1:2" x14ac:dyDescent="0.25">
      <c r="A3869" s="8"/>
      <c r="B3869" s="8" t="str">
        <f t="shared" si="63"/>
        <v/>
      </c>
    </row>
    <row r="3870" spans="1:2" x14ac:dyDescent="0.25">
      <c r="A3870" s="8"/>
      <c r="B3870" s="8" t="str">
        <f t="shared" si="63"/>
        <v/>
      </c>
    </row>
    <row r="3871" spans="1:2" x14ac:dyDescent="0.25">
      <c r="A3871" s="8"/>
      <c r="B3871" s="8" t="str">
        <f t="shared" si="63"/>
        <v/>
      </c>
    </row>
    <row r="3872" spans="1:2" x14ac:dyDescent="0.25">
      <c r="A3872" s="8"/>
      <c r="B3872" s="8" t="str">
        <f t="shared" si="63"/>
        <v/>
      </c>
    </row>
    <row r="3873" spans="1:2" x14ac:dyDescent="0.25">
      <c r="A3873" s="8"/>
      <c r="B3873" s="8" t="str">
        <f t="shared" si="63"/>
        <v/>
      </c>
    </row>
    <row r="3874" spans="1:2" x14ac:dyDescent="0.25">
      <c r="A3874" s="8"/>
      <c r="B3874" s="8" t="str">
        <f t="shared" si="63"/>
        <v/>
      </c>
    </row>
    <row r="3875" spans="1:2" x14ac:dyDescent="0.25">
      <c r="A3875" s="8"/>
      <c r="B3875" s="8" t="str">
        <f t="shared" si="63"/>
        <v/>
      </c>
    </row>
    <row r="3876" spans="1:2" x14ac:dyDescent="0.25">
      <c r="A3876" s="8"/>
      <c r="B3876" s="8" t="str">
        <f t="shared" si="63"/>
        <v/>
      </c>
    </row>
    <row r="3877" spans="1:2" x14ac:dyDescent="0.25">
      <c r="A3877" s="8"/>
      <c r="B3877" s="8" t="str">
        <f t="shared" si="63"/>
        <v/>
      </c>
    </row>
    <row r="3878" spans="1:2" x14ac:dyDescent="0.25">
      <c r="A3878" s="8"/>
      <c r="B3878" s="8" t="str">
        <f t="shared" si="63"/>
        <v/>
      </c>
    </row>
    <row r="3879" spans="1:2" x14ac:dyDescent="0.25">
      <c r="A3879" s="8"/>
      <c r="B3879" s="8" t="str">
        <f t="shared" si="63"/>
        <v/>
      </c>
    </row>
    <row r="3880" spans="1:2" x14ac:dyDescent="0.25">
      <c r="A3880" s="8"/>
      <c r="B3880" s="8" t="str">
        <f t="shared" si="63"/>
        <v/>
      </c>
    </row>
    <row r="3881" spans="1:2" x14ac:dyDescent="0.25">
      <c r="A3881" s="8"/>
      <c r="B3881" s="8" t="str">
        <f t="shared" si="63"/>
        <v/>
      </c>
    </row>
    <row r="3882" spans="1:2" x14ac:dyDescent="0.25">
      <c r="A3882" s="8"/>
      <c r="B3882" s="8" t="str">
        <f t="shared" si="63"/>
        <v/>
      </c>
    </row>
    <row r="3883" spans="1:2" x14ac:dyDescent="0.25">
      <c r="A3883" s="8"/>
      <c r="B3883" s="8" t="str">
        <f t="shared" si="63"/>
        <v/>
      </c>
    </row>
    <row r="3884" spans="1:2" x14ac:dyDescent="0.25">
      <c r="A3884" s="8"/>
      <c r="B3884" s="8" t="str">
        <f t="shared" si="63"/>
        <v/>
      </c>
    </row>
    <row r="3885" spans="1:2" x14ac:dyDescent="0.25">
      <c r="A3885" s="8"/>
      <c r="B3885" s="8" t="str">
        <f t="shared" si="63"/>
        <v/>
      </c>
    </row>
    <row r="3886" spans="1:2" x14ac:dyDescent="0.25">
      <c r="A3886" s="8"/>
      <c r="B3886" s="8" t="str">
        <f t="shared" si="63"/>
        <v/>
      </c>
    </row>
    <row r="3887" spans="1:2" x14ac:dyDescent="0.25">
      <c r="A3887" s="8"/>
      <c r="B3887" s="8" t="str">
        <f t="shared" si="63"/>
        <v/>
      </c>
    </row>
    <row r="3888" spans="1:2" x14ac:dyDescent="0.25">
      <c r="A3888" s="8"/>
      <c r="B3888" s="8" t="str">
        <f t="shared" si="63"/>
        <v/>
      </c>
    </row>
    <row r="3889" spans="1:2" x14ac:dyDescent="0.25">
      <c r="A3889" s="8"/>
      <c r="B3889" s="8" t="str">
        <f t="shared" si="63"/>
        <v/>
      </c>
    </row>
    <row r="3890" spans="1:2" x14ac:dyDescent="0.25">
      <c r="A3890" s="8"/>
      <c r="B3890" s="8" t="str">
        <f t="shared" si="63"/>
        <v/>
      </c>
    </row>
    <row r="3891" spans="1:2" x14ac:dyDescent="0.25">
      <c r="A3891" s="8"/>
      <c r="B3891" s="8" t="str">
        <f t="shared" si="63"/>
        <v/>
      </c>
    </row>
    <row r="3892" spans="1:2" x14ac:dyDescent="0.25">
      <c r="A3892" s="8"/>
      <c r="B3892" s="8" t="str">
        <f t="shared" si="63"/>
        <v/>
      </c>
    </row>
    <row r="3893" spans="1:2" x14ac:dyDescent="0.25">
      <c r="A3893" s="8"/>
      <c r="B3893" s="8" t="str">
        <f t="shared" si="63"/>
        <v/>
      </c>
    </row>
    <row r="3894" spans="1:2" x14ac:dyDescent="0.25">
      <c r="A3894" s="8"/>
      <c r="B3894" s="8" t="str">
        <f t="shared" si="63"/>
        <v/>
      </c>
    </row>
    <row r="3895" spans="1:2" x14ac:dyDescent="0.25">
      <c r="A3895" s="8"/>
      <c r="B3895" s="8" t="str">
        <f t="shared" si="63"/>
        <v/>
      </c>
    </row>
    <row r="3896" spans="1:2" x14ac:dyDescent="0.25">
      <c r="A3896" s="8"/>
      <c r="B3896" s="8" t="str">
        <f t="shared" si="63"/>
        <v/>
      </c>
    </row>
    <row r="3897" spans="1:2" x14ac:dyDescent="0.25">
      <c r="A3897" s="8"/>
      <c r="B3897" s="8" t="str">
        <f t="shared" si="63"/>
        <v/>
      </c>
    </row>
    <row r="3898" spans="1:2" x14ac:dyDescent="0.25">
      <c r="A3898" s="8"/>
      <c r="B3898" s="8" t="str">
        <f t="shared" si="63"/>
        <v/>
      </c>
    </row>
    <row r="3899" spans="1:2" x14ac:dyDescent="0.25">
      <c r="A3899" s="8"/>
      <c r="B3899" s="8" t="str">
        <f t="shared" si="63"/>
        <v/>
      </c>
    </row>
    <row r="3900" spans="1:2" x14ac:dyDescent="0.25">
      <c r="A3900" s="8"/>
      <c r="B3900" s="8" t="str">
        <f t="shared" si="63"/>
        <v/>
      </c>
    </row>
    <row r="3901" spans="1:2" x14ac:dyDescent="0.25">
      <c r="A3901" s="8"/>
      <c r="B3901" s="8" t="str">
        <f t="shared" si="63"/>
        <v/>
      </c>
    </row>
    <row r="3902" spans="1:2" x14ac:dyDescent="0.25">
      <c r="A3902" s="8"/>
      <c r="B3902" s="8" t="str">
        <f t="shared" si="63"/>
        <v/>
      </c>
    </row>
    <row r="3903" spans="1:2" x14ac:dyDescent="0.25">
      <c r="A3903" s="8"/>
      <c r="B3903" s="8" t="str">
        <f t="shared" si="63"/>
        <v/>
      </c>
    </row>
    <row r="3904" spans="1:2" x14ac:dyDescent="0.25">
      <c r="A3904" s="8"/>
      <c r="B3904" s="8" t="str">
        <f t="shared" si="63"/>
        <v/>
      </c>
    </row>
    <row r="3905" spans="1:2" x14ac:dyDescent="0.25">
      <c r="A3905" s="8"/>
      <c r="B3905" s="8" t="str">
        <f t="shared" si="63"/>
        <v/>
      </c>
    </row>
    <row r="3906" spans="1:2" x14ac:dyDescent="0.25">
      <c r="A3906" s="8"/>
      <c r="B3906" s="8" t="str">
        <f t="shared" si="63"/>
        <v/>
      </c>
    </row>
    <row r="3907" spans="1:2" x14ac:dyDescent="0.25">
      <c r="A3907" s="8"/>
      <c r="B3907" s="8" t="str">
        <f t="shared" si="63"/>
        <v/>
      </c>
    </row>
    <row r="3908" spans="1:2" x14ac:dyDescent="0.25">
      <c r="A3908" s="8"/>
      <c r="B3908" s="8" t="str">
        <f t="shared" ref="B3908:B3971" si="64">IF(A3908=0,"",41824+(ROUNDUP(DAYS360(41824,A3908)/7,0)*7))</f>
        <v/>
      </c>
    </row>
    <row r="3909" spans="1:2" x14ac:dyDescent="0.25">
      <c r="A3909" s="8"/>
      <c r="B3909" s="8" t="str">
        <f t="shared" si="64"/>
        <v/>
      </c>
    </row>
    <row r="3910" spans="1:2" x14ac:dyDescent="0.25">
      <c r="A3910" s="8"/>
      <c r="B3910" s="8" t="str">
        <f t="shared" si="64"/>
        <v/>
      </c>
    </row>
    <row r="3911" spans="1:2" x14ac:dyDescent="0.25">
      <c r="A3911" s="8"/>
      <c r="B3911" s="8" t="str">
        <f t="shared" si="64"/>
        <v/>
      </c>
    </row>
    <row r="3912" spans="1:2" x14ac:dyDescent="0.25">
      <c r="A3912" s="8"/>
      <c r="B3912" s="8" t="str">
        <f t="shared" si="64"/>
        <v/>
      </c>
    </row>
    <row r="3913" spans="1:2" x14ac:dyDescent="0.25">
      <c r="A3913" s="8"/>
      <c r="B3913" s="8" t="str">
        <f t="shared" si="64"/>
        <v/>
      </c>
    </row>
    <row r="3914" spans="1:2" x14ac:dyDescent="0.25">
      <c r="A3914" s="8"/>
      <c r="B3914" s="8" t="str">
        <f t="shared" si="64"/>
        <v/>
      </c>
    </row>
    <row r="3915" spans="1:2" x14ac:dyDescent="0.25">
      <c r="A3915" s="8"/>
      <c r="B3915" s="8" t="str">
        <f t="shared" si="64"/>
        <v/>
      </c>
    </row>
    <row r="3916" spans="1:2" x14ac:dyDescent="0.25">
      <c r="A3916" s="8"/>
      <c r="B3916" s="8" t="str">
        <f t="shared" si="64"/>
        <v/>
      </c>
    </row>
    <row r="3917" spans="1:2" x14ac:dyDescent="0.25">
      <c r="A3917" s="8"/>
      <c r="B3917" s="8" t="str">
        <f t="shared" si="64"/>
        <v/>
      </c>
    </row>
    <row r="3918" spans="1:2" x14ac:dyDescent="0.25">
      <c r="A3918" s="8"/>
      <c r="B3918" s="8" t="str">
        <f t="shared" si="64"/>
        <v/>
      </c>
    </row>
    <row r="3919" spans="1:2" x14ac:dyDescent="0.25">
      <c r="A3919" s="8"/>
      <c r="B3919" s="8" t="str">
        <f t="shared" si="64"/>
        <v/>
      </c>
    </row>
    <row r="3920" spans="1:2" x14ac:dyDescent="0.25">
      <c r="A3920" s="8"/>
      <c r="B3920" s="8" t="str">
        <f t="shared" si="64"/>
        <v/>
      </c>
    </row>
    <row r="3921" spans="1:2" x14ac:dyDescent="0.25">
      <c r="A3921" s="8"/>
      <c r="B3921" s="8" t="str">
        <f t="shared" si="64"/>
        <v/>
      </c>
    </row>
    <row r="3922" spans="1:2" x14ac:dyDescent="0.25">
      <c r="A3922" s="8"/>
      <c r="B3922" s="8" t="str">
        <f t="shared" si="64"/>
        <v/>
      </c>
    </row>
    <row r="3923" spans="1:2" x14ac:dyDescent="0.25">
      <c r="A3923" s="8"/>
      <c r="B3923" s="8" t="str">
        <f t="shared" si="64"/>
        <v/>
      </c>
    </row>
    <row r="3924" spans="1:2" x14ac:dyDescent="0.25">
      <c r="A3924" s="8"/>
      <c r="B3924" s="8" t="str">
        <f t="shared" si="64"/>
        <v/>
      </c>
    </row>
    <row r="3925" spans="1:2" x14ac:dyDescent="0.25">
      <c r="A3925" s="8"/>
      <c r="B3925" s="8" t="str">
        <f t="shared" si="64"/>
        <v/>
      </c>
    </row>
    <row r="3926" spans="1:2" x14ac:dyDescent="0.25">
      <c r="A3926" s="8"/>
      <c r="B3926" s="8" t="str">
        <f t="shared" si="64"/>
        <v/>
      </c>
    </row>
    <row r="3927" spans="1:2" x14ac:dyDescent="0.25">
      <c r="A3927" s="8"/>
      <c r="B3927" s="8" t="str">
        <f t="shared" si="64"/>
        <v/>
      </c>
    </row>
    <row r="3928" spans="1:2" x14ac:dyDescent="0.25">
      <c r="A3928" s="8"/>
      <c r="B3928" s="8" t="str">
        <f t="shared" si="64"/>
        <v/>
      </c>
    </row>
    <row r="3929" spans="1:2" x14ac:dyDescent="0.25">
      <c r="A3929" s="8"/>
      <c r="B3929" s="8" t="str">
        <f t="shared" si="64"/>
        <v/>
      </c>
    </row>
    <row r="3930" spans="1:2" x14ac:dyDescent="0.25">
      <c r="A3930" s="8"/>
      <c r="B3930" s="8" t="str">
        <f t="shared" si="64"/>
        <v/>
      </c>
    </row>
    <row r="3931" spans="1:2" x14ac:dyDescent="0.25">
      <c r="A3931" s="8"/>
      <c r="B3931" s="8" t="str">
        <f t="shared" si="64"/>
        <v/>
      </c>
    </row>
    <row r="3932" spans="1:2" x14ac:dyDescent="0.25">
      <c r="A3932" s="8"/>
      <c r="B3932" s="8" t="str">
        <f t="shared" si="64"/>
        <v/>
      </c>
    </row>
    <row r="3933" spans="1:2" x14ac:dyDescent="0.25">
      <c r="A3933" s="8"/>
      <c r="B3933" s="8" t="str">
        <f t="shared" si="64"/>
        <v/>
      </c>
    </row>
    <row r="3934" spans="1:2" x14ac:dyDescent="0.25">
      <c r="A3934" s="8"/>
      <c r="B3934" s="8" t="str">
        <f t="shared" si="64"/>
        <v/>
      </c>
    </row>
    <row r="3935" spans="1:2" x14ac:dyDescent="0.25">
      <c r="A3935" s="8"/>
      <c r="B3935" s="8" t="str">
        <f t="shared" si="64"/>
        <v/>
      </c>
    </row>
    <row r="3936" spans="1:2" x14ac:dyDescent="0.25">
      <c r="A3936" s="8"/>
      <c r="B3936" s="8" t="str">
        <f t="shared" si="64"/>
        <v/>
      </c>
    </row>
    <row r="3937" spans="1:2" x14ac:dyDescent="0.25">
      <c r="A3937" s="8"/>
      <c r="B3937" s="8" t="str">
        <f t="shared" si="64"/>
        <v/>
      </c>
    </row>
    <row r="3938" spans="1:2" x14ac:dyDescent="0.25">
      <c r="A3938" s="8"/>
      <c r="B3938" s="8" t="str">
        <f t="shared" si="64"/>
        <v/>
      </c>
    </row>
    <row r="3939" spans="1:2" x14ac:dyDescent="0.25">
      <c r="A3939" s="8"/>
      <c r="B3939" s="8" t="str">
        <f t="shared" si="64"/>
        <v/>
      </c>
    </row>
    <row r="3940" spans="1:2" x14ac:dyDescent="0.25">
      <c r="A3940" s="8"/>
      <c r="B3940" s="8" t="str">
        <f t="shared" si="64"/>
        <v/>
      </c>
    </row>
    <row r="3941" spans="1:2" x14ac:dyDescent="0.25">
      <c r="A3941" s="8"/>
      <c r="B3941" s="8" t="str">
        <f t="shared" si="64"/>
        <v/>
      </c>
    </row>
    <row r="3942" spans="1:2" x14ac:dyDescent="0.25">
      <c r="A3942" s="8"/>
      <c r="B3942" s="8" t="str">
        <f t="shared" si="64"/>
        <v/>
      </c>
    </row>
    <row r="3943" spans="1:2" x14ac:dyDescent="0.25">
      <c r="A3943" s="8"/>
      <c r="B3943" s="8" t="str">
        <f t="shared" si="64"/>
        <v/>
      </c>
    </row>
    <row r="3944" spans="1:2" x14ac:dyDescent="0.25">
      <c r="A3944" s="8"/>
      <c r="B3944" s="8" t="str">
        <f t="shared" si="64"/>
        <v/>
      </c>
    </row>
    <row r="3945" spans="1:2" x14ac:dyDescent="0.25">
      <c r="A3945" s="8"/>
      <c r="B3945" s="8" t="str">
        <f t="shared" si="64"/>
        <v/>
      </c>
    </row>
    <row r="3946" spans="1:2" x14ac:dyDescent="0.25">
      <c r="A3946" s="8"/>
      <c r="B3946" s="8" t="str">
        <f t="shared" si="64"/>
        <v/>
      </c>
    </row>
    <row r="3947" spans="1:2" x14ac:dyDescent="0.25">
      <c r="A3947" s="8"/>
      <c r="B3947" s="8" t="str">
        <f t="shared" si="64"/>
        <v/>
      </c>
    </row>
    <row r="3948" spans="1:2" x14ac:dyDescent="0.25">
      <c r="A3948" s="8"/>
      <c r="B3948" s="8" t="str">
        <f t="shared" si="64"/>
        <v/>
      </c>
    </row>
    <row r="3949" spans="1:2" x14ac:dyDescent="0.25">
      <c r="A3949" s="8"/>
      <c r="B3949" s="8" t="str">
        <f t="shared" si="64"/>
        <v/>
      </c>
    </row>
    <row r="3950" spans="1:2" x14ac:dyDescent="0.25">
      <c r="A3950" s="8"/>
      <c r="B3950" s="8" t="str">
        <f t="shared" si="64"/>
        <v/>
      </c>
    </row>
    <row r="3951" spans="1:2" x14ac:dyDescent="0.25">
      <c r="A3951" s="8"/>
      <c r="B3951" s="8" t="str">
        <f t="shared" si="64"/>
        <v/>
      </c>
    </row>
    <row r="3952" spans="1:2" x14ac:dyDescent="0.25">
      <c r="A3952" s="8"/>
      <c r="B3952" s="8" t="str">
        <f t="shared" si="64"/>
        <v/>
      </c>
    </row>
    <row r="3953" spans="1:2" x14ac:dyDescent="0.25">
      <c r="A3953" s="8"/>
      <c r="B3953" s="8" t="str">
        <f t="shared" si="64"/>
        <v/>
      </c>
    </row>
    <row r="3954" spans="1:2" x14ac:dyDescent="0.25">
      <c r="A3954" s="8"/>
      <c r="B3954" s="8" t="str">
        <f t="shared" si="64"/>
        <v/>
      </c>
    </row>
    <row r="3955" spans="1:2" x14ac:dyDescent="0.25">
      <c r="A3955" s="8"/>
      <c r="B3955" s="8" t="str">
        <f t="shared" si="64"/>
        <v/>
      </c>
    </row>
    <row r="3956" spans="1:2" x14ac:dyDescent="0.25">
      <c r="A3956" s="8"/>
      <c r="B3956" s="8" t="str">
        <f t="shared" si="64"/>
        <v/>
      </c>
    </row>
    <row r="3957" spans="1:2" x14ac:dyDescent="0.25">
      <c r="A3957" s="8"/>
      <c r="B3957" s="8" t="str">
        <f t="shared" si="64"/>
        <v/>
      </c>
    </row>
    <row r="3958" spans="1:2" x14ac:dyDescent="0.25">
      <c r="A3958" s="8"/>
      <c r="B3958" s="8" t="str">
        <f t="shared" si="64"/>
        <v/>
      </c>
    </row>
    <row r="3959" spans="1:2" x14ac:dyDescent="0.25">
      <c r="A3959" s="8"/>
      <c r="B3959" s="8" t="str">
        <f t="shared" si="64"/>
        <v/>
      </c>
    </row>
    <row r="3960" spans="1:2" x14ac:dyDescent="0.25">
      <c r="A3960" s="8"/>
      <c r="B3960" s="8" t="str">
        <f t="shared" si="64"/>
        <v/>
      </c>
    </row>
    <row r="3961" spans="1:2" x14ac:dyDescent="0.25">
      <c r="A3961" s="8"/>
      <c r="B3961" s="8" t="str">
        <f t="shared" si="64"/>
        <v/>
      </c>
    </row>
    <row r="3962" spans="1:2" x14ac:dyDescent="0.25">
      <c r="A3962" s="8"/>
      <c r="B3962" s="8" t="str">
        <f t="shared" si="64"/>
        <v/>
      </c>
    </row>
    <row r="3963" spans="1:2" x14ac:dyDescent="0.25">
      <c r="A3963" s="8"/>
      <c r="B3963" s="8" t="str">
        <f t="shared" si="64"/>
        <v/>
      </c>
    </row>
    <row r="3964" spans="1:2" x14ac:dyDescent="0.25">
      <c r="A3964" s="8"/>
      <c r="B3964" s="8" t="str">
        <f t="shared" si="64"/>
        <v/>
      </c>
    </row>
    <row r="3965" spans="1:2" x14ac:dyDescent="0.25">
      <c r="A3965" s="8"/>
      <c r="B3965" s="8" t="str">
        <f t="shared" si="64"/>
        <v/>
      </c>
    </row>
    <row r="3966" spans="1:2" x14ac:dyDescent="0.25">
      <c r="A3966" s="8"/>
      <c r="B3966" s="8" t="str">
        <f t="shared" si="64"/>
        <v/>
      </c>
    </row>
    <row r="3967" spans="1:2" x14ac:dyDescent="0.25">
      <c r="A3967" s="8"/>
      <c r="B3967" s="8" t="str">
        <f t="shared" si="64"/>
        <v/>
      </c>
    </row>
    <row r="3968" spans="1:2" x14ac:dyDescent="0.25">
      <c r="A3968" s="8"/>
      <c r="B3968" s="8" t="str">
        <f t="shared" si="64"/>
        <v/>
      </c>
    </row>
    <row r="3969" spans="1:2" x14ac:dyDescent="0.25">
      <c r="A3969" s="8"/>
      <c r="B3969" s="8" t="str">
        <f t="shared" si="64"/>
        <v/>
      </c>
    </row>
    <row r="3970" spans="1:2" x14ac:dyDescent="0.25">
      <c r="A3970" s="8"/>
      <c r="B3970" s="8" t="str">
        <f t="shared" si="64"/>
        <v/>
      </c>
    </row>
    <row r="3971" spans="1:2" x14ac:dyDescent="0.25">
      <c r="A3971" s="8"/>
      <c r="B3971" s="8" t="str">
        <f t="shared" si="64"/>
        <v/>
      </c>
    </row>
    <row r="3972" spans="1:2" x14ac:dyDescent="0.25">
      <c r="A3972" s="8"/>
      <c r="B3972" s="8" t="str">
        <f t="shared" ref="B3972:B4035" si="65">IF(A3972=0,"",41824+(ROUNDUP(DAYS360(41824,A3972)/7,0)*7))</f>
        <v/>
      </c>
    </row>
    <row r="3973" spans="1:2" x14ac:dyDescent="0.25">
      <c r="A3973" s="8"/>
      <c r="B3973" s="8" t="str">
        <f t="shared" si="65"/>
        <v/>
      </c>
    </row>
    <row r="3974" spans="1:2" x14ac:dyDescent="0.25">
      <c r="A3974" s="8"/>
      <c r="B3974" s="8" t="str">
        <f t="shared" si="65"/>
        <v/>
      </c>
    </row>
    <row r="3975" spans="1:2" x14ac:dyDescent="0.25">
      <c r="A3975" s="8"/>
      <c r="B3975" s="8" t="str">
        <f t="shared" si="65"/>
        <v/>
      </c>
    </row>
    <row r="3976" spans="1:2" x14ac:dyDescent="0.25">
      <c r="A3976" s="8"/>
      <c r="B3976" s="8" t="str">
        <f t="shared" si="65"/>
        <v/>
      </c>
    </row>
    <row r="3977" spans="1:2" x14ac:dyDescent="0.25">
      <c r="A3977" s="8"/>
      <c r="B3977" s="8" t="str">
        <f t="shared" si="65"/>
        <v/>
      </c>
    </row>
    <row r="3978" spans="1:2" x14ac:dyDescent="0.25">
      <c r="A3978" s="8"/>
      <c r="B3978" s="8" t="str">
        <f t="shared" si="65"/>
        <v/>
      </c>
    </row>
    <row r="3979" spans="1:2" x14ac:dyDescent="0.25">
      <c r="A3979" s="8"/>
      <c r="B3979" s="8" t="str">
        <f t="shared" si="65"/>
        <v/>
      </c>
    </row>
    <row r="3980" spans="1:2" x14ac:dyDescent="0.25">
      <c r="A3980" s="8"/>
      <c r="B3980" s="8" t="str">
        <f t="shared" si="65"/>
        <v/>
      </c>
    </row>
    <row r="3981" spans="1:2" x14ac:dyDescent="0.25">
      <c r="A3981" s="8"/>
      <c r="B3981" s="8" t="str">
        <f t="shared" si="65"/>
        <v/>
      </c>
    </row>
    <row r="3982" spans="1:2" x14ac:dyDescent="0.25">
      <c r="A3982" s="8"/>
      <c r="B3982" s="8" t="str">
        <f t="shared" si="65"/>
        <v/>
      </c>
    </row>
    <row r="3983" spans="1:2" x14ac:dyDescent="0.25">
      <c r="A3983" s="8"/>
      <c r="B3983" s="8" t="str">
        <f t="shared" si="65"/>
        <v/>
      </c>
    </row>
    <row r="3984" spans="1:2" x14ac:dyDescent="0.25">
      <c r="A3984" s="8"/>
      <c r="B3984" s="8" t="str">
        <f t="shared" si="65"/>
        <v/>
      </c>
    </row>
    <row r="3985" spans="1:2" x14ac:dyDescent="0.25">
      <c r="A3985" s="8"/>
      <c r="B3985" s="8" t="str">
        <f t="shared" si="65"/>
        <v/>
      </c>
    </row>
    <row r="3986" spans="1:2" x14ac:dyDescent="0.25">
      <c r="A3986" s="8"/>
      <c r="B3986" s="8" t="str">
        <f t="shared" si="65"/>
        <v/>
      </c>
    </row>
    <row r="3987" spans="1:2" x14ac:dyDescent="0.25">
      <c r="A3987" s="8"/>
      <c r="B3987" s="8" t="str">
        <f t="shared" si="65"/>
        <v/>
      </c>
    </row>
    <row r="3988" spans="1:2" x14ac:dyDescent="0.25">
      <c r="A3988" s="8"/>
      <c r="B3988" s="8" t="str">
        <f t="shared" si="65"/>
        <v/>
      </c>
    </row>
    <row r="3989" spans="1:2" x14ac:dyDescent="0.25">
      <c r="A3989" s="8"/>
      <c r="B3989" s="8" t="str">
        <f t="shared" si="65"/>
        <v/>
      </c>
    </row>
    <row r="3990" spans="1:2" x14ac:dyDescent="0.25">
      <c r="A3990" s="8"/>
      <c r="B3990" s="8" t="str">
        <f t="shared" si="65"/>
        <v/>
      </c>
    </row>
    <row r="3991" spans="1:2" x14ac:dyDescent="0.25">
      <c r="A3991" s="8"/>
      <c r="B3991" s="8" t="str">
        <f t="shared" si="65"/>
        <v/>
      </c>
    </row>
    <row r="3992" spans="1:2" x14ac:dyDescent="0.25">
      <c r="A3992" s="8"/>
      <c r="B3992" s="8" t="str">
        <f t="shared" si="65"/>
        <v/>
      </c>
    </row>
    <row r="3993" spans="1:2" x14ac:dyDescent="0.25">
      <c r="A3993" s="8"/>
      <c r="B3993" s="8" t="str">
        <f t="shared" si="65"/>
        <v/>
      </c>
    </row>
    <row r="3994" spans="1:2" x14ac:dyDescent="0.25">
      <c r="A3994" s="8"/>
      <c r="B3994" s="8" t="str">
        <f t="shared" si="65"/>
        <v/>
      </c>
    </row>
    <row r="3995" spans="1:2" x14ac:dyDescent="0.25">
      <c r="A3995" s="8"/>
      <c r="B3995" s="8" t="str">
        <f t="shared" si="65"/>
        <v/>
      </c>
    </row>
    <row r="3996" spans="1:2" x14ac:dyDescent="0.25">
      <c r="A3996" s="8"/>
      <c r="B3996" s="8" t="str">
        <f t="shared" si="65"/>
        <v/>
      </c>
    </row>
    <row r="3997" spans="1:2" x14ac:dyDescent="0.25">
      <c r="A3997" s="8"/>
      <c r="B3997" s="8" t="str">
        <f t="shared" si="65"/>
        <v/>
      </c>
    </row>
    <row r="3998" spans="1:2" x14ac:dyDescent="0.25">
      <c r="A3998" s="8"/>
      <c r="B3998" s="8" t="str">
        <f t="shared" si="65"/>
        <v/>
      </c>
    </row>
    <row r="3999" spans="1:2" x14ac:dyDescent="0.25">
      <c r="A3999" s="8"/>
      <c r="B3999" s="8" t="str">
        <f t="shared" si="65"/>
        <v/>
      </c>
    </row>
    <row r="4000" spans="1:2" x14ac:dyDescent="0.25">
      <c r="A4000" s="8"/>
      <c r="B4000" s="8" t="str">
        <f t="shared" si="65"/>
        <v/>
      </c>
    </row>
    <row r="4001" spans="1:2" x14ac:dyDescent="0.25">
      <c r="A4001" s="8"/>
      <c r="B4001" s="8" t="str">
        <f t="shared" si="65"/>
        <v/>
      </c>
    </row>
    <row r="4002" spans="1:2" x14ac:dyDescent="0.25">
      <c r="A4002" s="8"/>
      <c r="B4002" s="8" t="str">
        <f t="shared" si="65"/>
        <v/>
      </c>
    </row>
    <row r="4003" spans="1:2" x14ac:dyDescent="0.25">
      <c r="A4003" s="8"/>
      <c r="B4003" s="8" t="str">
        <f t="shared" si="65"/>
        <v/>
      </c>
    </row>
    <row r="4004" spans="1:2" x14ac:dyDescent="0.25">
      <c r="A4004" s="8"/>
      <c r="B4004" s="8" t="str">
        <f t="shared" si="65"/>
        <v/>
      </c>
    </row>
    <row r="4005" spans="1:2" x14ac:dyDescent="0.25">
      <c r="A4005" s="8"/>
      <c r="B4005" s="8" t="str">
        <f t="shared" si="65"/>
        <v/>
      </c>
    </row>
    <row r="4006" spans="1:2" x14ac:dyDescent="0.25">
      <c r="A4006" s="8"/>
      <c r="B4006" s="8" t="str">
        <f t="shared" si="65"/>
        <v/>
      </c>
    </row>
    <row r="4007" spans="1:2" x14ac:dyDescent="0.25">
      <c r="A4007" s="8"/>
      <c r="B4007" s="8" t="str">
        <f t="shared" si="65"/>
        <v/>
      </c>
    </row>
    <row r="4008" spans="1:2" x14ac:dyDescent="0.25">
      <c r="A4008" s="8"/>
      <c r="B4008" s="8" t="str">
        <f t="shared" si="65"/>
        <v/>
      </c>
    </row>
    <row r="4009" spans="1:2" x14ac:dyDescent="0.25">
      <c r="A4009" s="8"/>
      <c r="B4009" s="8" t="str">
        <f t="shared" si="65"/>
        <v/>
      </c>
    </row>
    <row r="4010" spans="1:2" x14ac:dyDescent="0.25">
      <c r="A4010" s="8"/>
      <c r="B4010" s="8" t="str">
        <f t="shared" si="65"/>
        <v/>
      </c>
    </row>
    <row r="4011" spans="1:2" x14ac:dyDescent="0.25">
      <c r="A4011" s="8"/>
      <c r="B4011" s="8" t="str">
        <f t="shared" si="65"/>
        <v/>
      </c>
    </row>
    <row r="4012" spans="1:2" x14ac:dyDescent="0.25">
      <c r="A4012" s="8"/>
      <c r="B4012" s="8" t="str">
        <f t="shared" si="65"/>
        <v/>
      </c>
    </row>
    <row r="4013" spans="1:2" x14ac:dyDescent="0.25">
      <c r="A4013" s="8"/>
      <c r="B4013" s="8" t="str">
        <f t="shared" si="65"/>
        <v/>
      </c>
    </row>
    <row r="4014" spans="1:2" x14ac:dyDescent="0.25">
      <c r="A4014" s="8"/>
      <c r="B4014" s="8" t="str">
        <f t="shared" si="65"/>
        <v/>
      </c>
    </row>
    <row r="4015" spans="1:2" x14ac:dyDescent="0.25">
      <c r="A4015" s="8"/>
      <c r="B4015" s="8" t="str">
        <f t="shared" si="65"/>
        <v/>
      </c>
    </row>
    <row r="4016" spans="1:2" x14ac:dyDescent="0.25">
      <c r="A4016" s="8"/>
      <c r="B4016" s="8" t="str">
        <f t="shared" si="65"/>
        <v/>
      </c>
    </row>
    <row r="4017" spans="1:2" x14ac:dyDescent="0.25">
      <c r="A4017" s="8"/>
      <c r="B4017" s="8" t="str">
        <f t="shared" si="65"/>
        <v/>
      </c>
    </row>
    <row r="4018" spans="1:2" x14ac:dyDescent="0.25">
      <c r="A4018" s="8"/>
      <c r="B4018" s="8" t="str">
        <f t="shared" si="65"/>
        <v/>
      </c>
    </row>
    <row r="4019" spans="1:2" x14ac:dyDescent="0.25">
      <c r="A4019" s="8"/>
      <c r="B4019" s="8" t="str">
        <f t="shared" si="65"/>
        <v/>
      </c>
    </row>
    <row r="4020" spans="1:2" x14ac:dyDescent="0.25">
      <c r="A4020" s="8"/>
      <c r="B4020" s="8" t="str">
        <f t="shared" si="65"/>
        <v/>
      </c>
    </row>
    <row r="4021" spans="1:2" x14ac:dyDescent="0.25">
      <c r="A4021" s="8"/>
      <c r="B4021" s="8" t="str">
        <f t="shared" si="65"/>
        <v/>
      </c>
    </row>
    <row r="4022" spans="1:2" x14ac:dyDescent="0.25">
      <c r="A4022" s="8"/>
      <c r="B4022" s="8" t="str">
        <f t="shared" si="65"/>
        <v/>
      </c>
    </row>
    <row r="4023" spans="1:2" x14ac:dyDescent="0.25">
      <c r="A4023" s="8"/>
      <c r="B4023" s="8" t="str">
        <f t="shared" si="65"/>
        <v/>
      </c>
    </row>
    <row r="4024" spans="1:2" x14ac:dyDescent="0.25">
      <c r="A4024" s="8"/>
      <c r="B4024" s="8" t="str">
        <f t="shared" si="65"/>
        <v/>
      </c>
    </row>
    <row r="4025" spans="1:2" x14ac:dyDescent="0.25">
      <c r="A4025" s="8"/>
      <c r="B4025" s="8" t="str">
        <f t="shared" si="65"/>
        <v/>
      </c>
    </row>
    <row r="4026" spans="1:2" x14ac:dyDescent="0.25">
      <c r="A4026" s="8"/>
      <c r="B4026" s="8" t="str">
        <f t="shared" si="65"/>
        <v/>
      </c>
    </row>
    <row r="4027" spans="1:2" x14ac:dyDescent="0.25">
      <c r="A4027" s="8"/>
      <c r="B4027" s="8" t="str">
        <f t="shared" si="65"/>
        <v/>
      </c>
    </row>
    <row r="4028" spans="1:2" x14ac:dyDescent="0.25">
      <c r="A4028" s="8"/>
      <c r="B4028" s="8" t="str">
        <f t="shared" si="65"/>
        <v/>
      </c>
    </row>
    <row r="4029" spans="1:2" x14ac:dyDescent="0.25">
      <c r="A4029" s="8"/>
      <c r="B4029" s="8" t="str">
        <f t="shared" si="65"/>
        <v/>
      </c>
    </row>
    <row r="4030" spans="1:2" x14ac:dyDescent="0.25">
      <c r="A4030" s="8"/>
      <c r="B4030" s="8" t="str">
        <f t="shared" si="65"/>
        <v/>
      </c>
    </row>
    <row r="4031" spans="1:2" x14ac:dyDescent="0.25">
      <c r="A4031" s="8"/>
      <c r="B4031" s="8" t="str">
        <f t="shared" si="65"/>
        <v/>
      </c>
    </row>
    <row r="4032" spans="1:2" x14ac:dyDescent="0.25">
      <c r="A4032" s="8"/>
      <c r="B4032" s="8" t="str">
        <f t="shared" si="65"/>
        <v/>
      </c>
    </row>
    <row r="4033" spans="1:2" x14ac:dyDescent="0.25">
      <c r="A4033" s="8"/>
      <c r="B4033" s="8" t="str">
        <f t="shared" si="65"/>
        <v/>
      </c>
    </row>
    <row r="4034" spans="1:2" x14ac:dyDescent="0.25">
      <c r="A4034" s="8"/>
      <c r="B4034" s="8" t="str">
        <f t="shared" si="65"/>
        <v/>
      </c>
    </row>
    <row r="4035" spans="1:2" x14ac:dyDescent="0.25">
      <c r="A4035" s="8"/>
      <c r="B4035" s="8" t="str">
        <f t="shared" si="65"/>
        <v/>
      </c>
    </row>
    <row r="4036" spans="1:2" x14ac:dyDescent="0.25">
      <c r="A4036" s="8"/>
      <c r="B4036" s="8" t="str">
        <f t="shared" ref="B4036:B4099" si="66">IF(A4036=0,"",41824+(ROUNDUP(DAYS360(41824,A4036)/7,0)*7))</f>
        <v/>
      </c>
    </row>
    <row r="4037" spans="1:2" x14ac:dyDescent="0.25">
      <c r="A4037" s="8"/>
      <c r="B4037" s="8" t="str">
        <f t="shared" si="66"/>
        <v/>
      </c>
    </row>
    <row r="4038" spans="1:2" x14ac:dyDescent="0.25">
      <c r="A4038" s="8"/>
      <c r="B4038" s="8" t="str">
        <f t="shared" si="66"/>
        <v/>
      </c>
    </row>
    <row r="4039" spans="1:2" x14ac:dyDescent="0.25">
      <c r="A4039" s="8"/>
      <c r="B4039" s="8" t="str">
        <f t="shared" si="66"/>
        <v/>
      </c>
    </row>
    <row r="4040" spans="1:2" x14ac:dyDescent="0.25">
      <c r="A4040" s="8"/>
      <c r="B4040" s="8" t="str">
        <f t="shared" si="66"/>
        <v/>
      </c>
    </row>
    <row r="4041" spans="1:2" x14ac:dyDescent="0.25">
      <c r="A4041" s="8"/>
      <c r="B4041" s="8" t="str">
        <f t="shared" si="66"/>
        <v/>
      </c>
    </row>
    <row r="4042" spans="1:2" x14ac:dyDescent="0.25">
      <c r="A4042" s="8"/>
      <c r="B4042" s="8" t="str">
        <f t="shared" si="66"/>
        <v/>
      </c>
    </row>
    <row r="4043" spans="1:2" x14ac:dyDescent="0.25">
      <c r="A4043" s="8"/>
      <c r="B4043" s="8" t="str">
        <f t="shared" si="66"/>
        <v/>
      </c>
    </row>
    <row r="4044" spans="1:2" x14ac:dyDescent="0.25">
      <c r="A4044" s="8"/>
      <c r="B4044" s="8" t="str">
        <f t="shared" si="66"/>
        <v/>
      </c>
    </row>
    <row r="4045" spans="1:2" x14ac:dyDescent="0.25">
      <c r="A4045" s="8"/>
      <c r="B4045" s="8" t="str">
        <f t="shared" si="66"/>
        <v/>
      </c>
    </row>
    <row r="4046" spans="1:2" x14ac:dyDescent="0.25">
      <c r="A4046" s="8"/>
      <c r="B4046" s="8" t="str">
        <f t="shared" si="66"/>
        <v/>
      </c>
    </row>
    <row r="4047" spans="1:2" x14ac:dyDescent="0.25">
      <c r="A4047" s="8"/>
      <c r="B4047" s="8" t="str">
        <f t="shared" si="66"/>
        <v/>
      </c>
    </row>
    <row r="4048" spans="1:2" x14ac:dyDescent="0.25">
      <c r="A4048" s="8"/>
      <c r="B4048" s="8" t="str">
        <f t="shared" si="66"/>
        <v/>
      </c>
    </row>
    <row r="4049" spans="1:2" x14ac:dyDescent="0.25">
      <c r="A4049" s="8"/>
      <c r="B4049" s="8" t="str">
        <f t="shared" si="66"/>
        <v/>
      </c>
    </row>
    <row r="4050" spans="1:2" x14ac:dyDescent="0.25">
      <c r="A4050" s="8"/>
      <c r="B4050" s="8" t="str">
        <f t="shared" si="66"/>
        <v/>
      </c>
    </row>
    <row r="4051" spans="1:2" x14ac:dyDescent="0.25">
      <c r="A4051" s="8"/>
      <c r="B4051" s="8" t="str">
        <f t="shared" si="66"/>
        <v/>
      </c>
    </row>
    <row r="4052" spans="1:2" x14ac:dyDescent="0.25">
      <c r="A4052" s="8"/>
      <c r="B4052" s="8" t="str">
        <f t="shared" si="66"/>
        <v/>
      </c>
    </row>
    <row r="4053" spans="1:2" x14ac:dyDescent="0.25">
      <c r="A4053" s="8"/>
      <c r="B4053" s="8" t="str">
        <f t="shared" si="66"/>
        <v/>
      </c>
    </row>
    <row r="4054" spans="1:2" x14ac:dyDescent="0.25">
      <c r="A4054" s="8"/>
      <c r="B4054" s="8" t="str">
        <f t="shared" si="66"/>
        <v/>
      </c>
    </row>
    <row r="4055" spans="1:2" x14ac:dyDescent="0.25">
      <c r="A4055" s="8"/>
      <c r="B4055" s="8" t="str">
        <f t="shared" si="66"/>
        <v/>
      </c>
    </row>
    <row r="4056" spans="1:2" x14ac:dyDescent="0.25">
      <c r="A4056" s="8"/>
      <c r="B4056" s="8" t="str">
        <f t="shared" si="66"/>
        <v/>
      </c>
    </row>
    <row r="4057" spans="1:2" x14ac:dyDescent="0.25">
      <c r="A4057" s="8"/>
      <c r="B4057" s="8" t="str">
        <f t="shared" si="66"/>
        <v/>
      </c>
    </row>
    <row r="4058" spans="1:2" x14ac:dyDescent="0.25">
      <c r="A4058" s="8"/>
      <c r="B4058" s="8" t="str">
        <f t="shared" si="66"/>
        <v/>
      </c>
    </row>
    <row r="4059" spans="1:2" x14ac:dyDescent="0.25">
      <c r="A4059" s="8"/>
      <c r="B4059" s="8" t="str">
        <f t="shared" si="66"/>
        <v/>
      </c>
    </row>
    <row r="4060" spans="1:2" x14ac:dyDescent="0.25">
      <c r="A4060" s="8"/>
      <c r="B4060" s="8" t="str">
        <f t="shared" si="66"/>
        <v/>
      </c>
    </row>
    <row r="4061" spans="1:2" x14ac:dyDescent="0.25">
      <c r="A4061" s="8"/>
      <c r="B4061" s="8" t="str">
        <f t="shared" si="66"/>
        <v/>
      </c>
    </row>
    <row r="4062" spans="1:2" x14ac:dyDescent="0.25">
      <c r="A4062" s="8"/>
      <c r="B4062" s="8" t="str">
        <f t="shared" si="66"/>
        <v/>
      </c>
    </row>
    <row r="4063" spans="1:2" x14ac:dyDescent="0.25">
      <c r="A4063" s="8"/>
      <c r="B4063" s="8" t="str">
        <f t="shared" si="66"/>
        <v/>
      </c>
    </row>
    <row r="4064" spans="1:2" x14ac:dyDescent="0.25">
      <c r="A4064" s="8"/>
      <c r="B4064" s="8" t="str">
        <f t="shared" si="66"/>
        <v/>
      </c>
    </row>
    <row r="4065" spans="1:2" x14ac:dyDescent="0.25">
      <c r="A4065" s="8"/>
      <c r="B4065" s="8" t="str">
        <f t="shared" si="66"/>
        <v/>
      </c>
    </row>
    <row r="4066" spans="1:2" x14ac:dyDescent="0.25">
      <c r="A4066" s="8"/>
      <c r="B4066" s="8" t="str">
        <f t="shared" si="66"/>
        <v/>
      </c>
    </row>
    <row r="4067" spans="1:2" x14ac:dyDescent="0.25">
      <c r="A4067" s="8"/>
      <c r="B4067" s="8" t="str">
        <f t="shared" si="66"/>
        <v/>
      </c>
    </row>
    <row r="4068" spans="1:2" x14ac:dyDescent="0.25">
      <c r="A4068" s="8"/>
      <c r="B4068" s="8" t="str">
        <f t="shared" si="66"/>
        <v/>
      </c>
    </row>
    <row r="4069" spans="1:2" x14ac:dyDescent="0.25">
      <c r="A4069" s="8"/>
      <c r="B4069" s="8" t="str">
        <f t="shared" si="66"/>
        <v/>
      </c>
    </row>
    <row r="4070" spans="1:2" x14ac:dyDescent="0.25">
      <c r="A4070" s="8"/>
      <c r="B4070" s="8" t="str">
        <f t="shared" si="66"/>
        <v/>
      </c>
    </row>
    <row r="4071" spans="1:2" x14ac:dyDescent="0.25">
      <c r="A4071" s="8"/>
      <c r="B4071" s="8" t="str">
        <f t="shared" si="66"/>
        <v/>
      </c>
    </row>
    <row r="4072" spans="1:2" x14ac:dyDescent="0.25">
      <c r="A4072" s="8"/>
      <c r="B4072" s="8" t="str">
        <f t="shared" si="66"/>
        <v/>
      </c>
    </row>
    <row r="4073" spans="1:2" x14ac:dyDescent="0.25">
      <c r="A4073" s="8"/>
      <c r="B4073" s="8" t="str">
        <f t="shared" si="66"/>
        <v/>
      </c>
    </row>
    <row r="4074" spans="1:2" x14ac:dyDescent="0.25">
      <c r="A4074" s="8"/>
      <c r="B4074" s="8" t="str">
        <f t="shared" si="66"/>
        <v/>
      </c>
    </row>
    <row r="4075" spans="1:2" x14ac:dyDescent="0.25">
      <c r="A4075" s="8"/>
      <c r="B4075" s="8" t="str">
        <f t="shared" si="66"/>
        <v/>
      </c>
    </row>
    <row r="4076" spans="1:2" x14ac:dyDescent="0.25">
      <c r="A4076" s="8"/>
      <c r="B4076" s="8" t="str">
        <f t="shared" si="66"/>
        <v/>
      </c>
    </row>
    <row r="4077" spans="1:2" x14ac:dyDescent="0.25">
      <c r="A4077" s="8"/>
      <c r="B4077" s="8" t="str">
        <f t="shared" si="66"/>
        <v/>
      </c>
    </row>
    <row r="4078" spans="1:2" x14ac:dyDescent="0.25">
      <c r="A4078" s="8"/>
      <c r="B4078" s="8" t="str">
        <f t="shared" si="66"/>
        <v/>
      </c>
    </row>
    <row r="4079" spans="1:2" x14ac:dyDescent="0.25">
      <c r="A4079" s="8"/>
      <c r="B4079" s="8" t="str">
        <f t="shared" si="66"/>
        <v/>
      </c>
    </row>
    <row r="4080" spans="1:2" x14ac:dyDescent="0.25">
      <c r="A4080" s="8"/>
      <c r="B4080" s="8" t="str">
        <f t="shared" si="66"/>
        <v/>
      </c>
    </row>
    <row r="4081" spans="1:2" x14ac:dyDescent="0.25">
      <c r="A4081" s="8"/>
      <c r="B4081" s="8" t="str">
        <f t="shared" si="66"/>
        <v/>
      </c>
    </row>
    <row r="4082" spans="1:2" x14ac:dyDescent="0.25">
      <c r="A4082" s="8"/>
      <c r="B4082" s="8" t="str">
        <f t="shared" si="66"/>
        <v/>
      </c>
    </row>
    <row r="4083" spans="1:2" x14ac:dyDescent="0.25">
      <c r="A4083" s="8"/>
      <c r="B4083" s="8" t="str">
        <f t="shared" si="66"/>
        <v/>
      </c>
    </row>
    <row r="4084" spans="1:2" x14ac:dyDescent="0.25">
      <c r="A4084" s="8"/>
      <c r="B4084" s="8" t="str">
        <f t="shared" si="66"/>
        <v/>
      </c>
    </row>
    <row r="4085" spans="1:2" x14ac:dyDescent="0.25">
      <c r="A4085" s="8"/>
      <c r="B4085" s="8" t="str">
        <f t="shared" si="66"/>
        <v/>
      </c>
    </row>
    <row r="4086" spans="1:2" x14ac:dyDescent="0.25">
      <c r="A4086" s="8"/>
      <c r="B4086" s="8" t="str">
        <f t="shared" si="66"/>
        <v/>
      </c>
    </row>
    <row r="4087" spans="1:2" x14ac:dyDescent="0.25">
      <c r="A4087" s="8"/>
      <c r="B4087" s="8" t="str">
        <f t="shared" si="66"/>
        <v/>
      </c>
    </row>
    <row r="4088" spans="1:2" x14ac:dyDescent="0.25">
      <c r="A4088" s="8"/>
      <c r="B4088" s="8" t="str">
        <f t="shared" si="66"/>
        <v/>
      </c>
    </row>
    <row r="4089" spans="1:2" x14ac:dyDescent="0.25">
      <c r="A4089" s="8"/>
      <c r="B4089" s="8" t="str">
        <f t="shared" si="66"/>
        <v/>
      </c>
    </row>
    <row r="4090" spans="1:2" x14ac:dyDescent="0.25">
      <c r="A4090" s="8"/>
      <c r="B4090" s="8" t="str">
        <f t="shared" si="66"/>
        <v/>
      </c>
    </row>
    <row r="4091" spans="1:2" x14ac:dyDescent="0.25">
      <c r="A4091" s="8"/>
      <c r="B4091" s="8" t="str">
        <f t="shared" si="66"/>
        <v/>
      </c>
    </row>
    <row r="4092" spans="1:2" x14ac:dyDescent="0.25">
      <c r="A4092" s="8"/>
      <c r="B4092" s="8" t="str">
        <f t="shared" si="66"/>
        <v/>
      </c>
    </row>
    <row r="4093" spans="1:2" x14ac:dyDescent="0.25">
      <c r="A4093" s="8"/>
      <c r="B4093" s="8" t="str">
        <f t="shared" si="66"/>
        <v/>
      </c>
    </row>
    <row r="4094" spans="1:2" x14ac:dyDescent="0.25">
      <c r="A4094" s="8"/>
      <c r="B4094" s="8" t="str">
        <f t="shared" si="66"/>
        <v/>
      </c>
    </row>
    <row r="4095" spans="1:2" x14ac:dyDescent="0.25">
      <c r="A4095" s="8"/>
      <c r="B4095" s="8" t="str">
        <f t="shared" si="66"/>
        <v/>
      </c>
    </row>
    <row r="4096" spans="1:2" x14ac:dyDescent="0.25">
      <c r="A4096" s="8"/>
      <c r="B4096" s="8" t="str">
        <f t="shared" si="66"/>
        <v/>
      </c>
    </row>
    <row r="4097" spans="1:2" x14ac:dyDescent="0.25">
      <c r="A4097" s="8"/>
      <c r="B4097" s="8" t="str">
        <f t="shared" si="66"/>
        <v/>
      </c>
    </row>
    <row r="4098" spans="1:2" x14ac:dyDescent="0.25">
      <c r="A4098" s="8"/>
      <c r="B4098" s="8" t="str">
        <f t="shared" si="66"/>
        <v/>
      </c>
    </row>
    <row r="4099" spans="1:2" x14ac:dyDescent="0.25">
      <c r="A4099" s="8"/>
      <c r="B4099" s="8" t="str">
        <f t="shared" si="66"/>
        <v/>
      </c>
    </row>
    <row r="4100" spans="1:2" x14ac:dyDescent="0.25">
      <c r="A4100" s="8"/>
      <c r="B4100" s="8" t="str">
        <f t="shared" ref="B4100:B4125" si="67">IF(A4100=0,"",41824+(ROUNDUP(DAYS360(41824,A4100)/7,0)*7))</f>
        <v/>
      </c>
    </row>
    <row r="4101" spans="1:2" x14ac:dyDescent="0.25">
      <c r="A4101" s="8"/>
      <c r="B4101" s="8" t="str">
        <f t="shared" si="67"/>
        <v/>
      </c>
    </row>
    <row r="4102" spans="1:2" x14ac:dyDescent="0.25">
      <c r="A4102" s="8"/>
      <c r="B4102" s="8" t="str">
        <f t="shared" si="67"/>
        <v/>
      </c>
    </row>
    <row r="4103" spans="1:2" x14ac:dyDescent="0.25">
      <c r="A4103" s="8"/>
      <c r="B4103" s="8" t="str">
        <f t="shared" si="67"/>
        <v/>
      </c>
    </row>
    <row r="4104" spans="1:2" x14ac:dyDescent="0.25">
      <c r="A4104" s="8"/>
      <c r="B4104" s="8" t="str">
        <f t="shared" si="67"/>
        <v/>
      </c>
    </row>
    <row r="4105" spans="1:2" x14ac:dyDescent="0.25">
      <c r="A4105" s="8"/>
      <c r="B4105" s="8" t="str">
        <f t="shared" si="67"/>
        <v/>
      </c>
    </row>
    <row r="4106" spans="1:2" x14ac:dyDescent="0.25">
      <c r="A4106" s="8"/>
      <c r="B4106" s="8" t="str">
        <f t="shared" si="67"/>
        <v/>
      </c>
    </row>
    <row r="4107" spans="1:2" x14ac:dyDescent="0.25">
      <c r="A4107" s="8"/>
      <c r="B4107" s="8" t="str">
        <f t="shared" si="67"/>
        <v/>
      </c>
    </row>
    <row r="4108" spans="1:2" x14ac:dyDescent="0.25">
      <c r="A4108" s="8"/>
      <c r="B4108" s="8" t="str">
        <f t="shared" si="67"/>
        <v/>
      </c>
    </row>
    <row r="4109" spans="1:2" x14ac:dyDescent="0.25">
      <c r="A4109" s="8"/>
      <c r="B4109" s="8" t="str">
        <f t="shared" si="67"/>
        <v/>
      </c>
    </row>
    <row r="4110" spans="1:2" x14ac:dyDescent="0.25">
      <c r="A4110" s="8"/>
      <c r="B4110" s="8" t="str">
        <f t="shared" si="67"/>
        <v/>
      </c>
    </row>
    <row r="4111" spans="1:2" x14ac:dyDescent="0.25">
      <c r="A4111" s="8"/>
      <c r="B4111" s="8" t="str">
        <f t="shared" si="67"/>
        <v/>
      </c>
    </row>
    <row r="4112" spans="1:2" x14ac:dyDescent="0.25">
      <c r="A4112" s="8"/>
      <c r="B4112" s="8" t="str">
        <f t="shared" si="67"/>
        <v/>
      </c>
    </row>
    <row r="4113" spans="1:2" x14ac:dyDescent="0.25">
      <c r="A4113" s="8"/>
      <c r="B4113" s="8" t="str">
        <f t="shared" si="67"/>
        <v/>
      </c>
    </row>
    <row r="4114" spans="1:2" x14ac:dyDescent="0.25">
      <c r="A4114" s="8"/>
      <c r="B4114" s="8" t="str">
        <f t="shared" si="67"/>
        <v/>
      </c>
    </row>
    <row r="4115" spans="1:2" x14ac:dyDescent="0.25">
      <c r="A4115" s="8"/>
      <c r="B4115" s="8" t="str">
        <f t="shared" si="67"/>
        <v/>
      </c>
    </row>
    <row r="4116" spans="1:2" x14ac:dyDescent="0.25">
      <c r="A4116" s="8"/>
      <c r="B4116" s="8" t="str">
        <f t="shared" si="67"/>
        <v/>
      </c>
    </row>
    <row r="4117" spans="1:2" x14ac:dyDescent="0.25">
      <c r="A4117" s="8"/>
      <c r="B4117" s="8" t="str">
        <f t="shared" si="67"/>
        <v/>
      </c>
    </row>
    <row r="4118" spans="1:2" x14ac:dyDescent="0.25">
      <c r="A4118" s="8"/>
      <c r="B4118" s="8" t="str">
        <f t="shared" si="67"/>
        <v/>
      </c>
    </row>
    <row r="4119" spans="1:2" x14ac:dyDescent="0.25">
      <c r="A4119" s="8"/>
      <c r="B4119" s="8" t="str">
        <f t="shared" si="67"/>
        <v/>
      </c>
    </row>
    <row r="4120" spans="1:2" x14ac:dyDescent="0.25">
      <c r="A4120" s="8"/>
      <c r="B4120" s="8" t="str">
        <f t="shared" si="67"/>
        <v/>
      </c>
    </row>
    <row r="4121" spans="1:2" x14ac:dyDescent="0.25">
      <c r="A4121" s="8"/>
      <c r="B4121" s="8" t="str">
        <f t="shared" si="67"/>
        <v/>
      </c>
    </row>
    <row r="4122" spans="1:2" x14ac:dyDescent="0.25">
      <c r="A4122" s="8"/>
      <c r="B4122" s="8" t="str">
        <f t="shared" si="67"/>
        <v/>
      </c>
    </row>
    <row r="4123" spans="1:2" x14ac:dyDescent="0.25">
      <c r="A4123" s="8"/>
      <c r="B4123" s="8" t="str">
        <f t="shared" si="67"/>
        <v/>
      </c>
    </row>
    <row r="4124" spans="1:2" x14ac:dyDescent="0.25">
      <c r="A4124" s="8"/>
      <c r="B4124" s="8" t="str">
        <f t="shared" si="67"/>
        <v/>
      </c>
    </row>
    <row r="4125" spans="1:2" x14ac:dyDescent="0.25">
      <c r="A4125" s="8"/>
      <c r="B4125" s="8" t="str">
        <f t="shared" si="67"/>
        <v/>
      </c>
    </row>
    <row r="4126" spans="1:2" x14ac:dyDescent="0.25">
      <c r="A4126" s="8">
        <v>43721</v>
      </c>
    </row>
  </sheetData>
  <autoFilter ref="A2:E4125" xr:uid="{E06F4F65-39A9-4AED-B265-DE6A96FF7D73}">
    <filterColumn colId="4">
      <customFilters and="1">
        <customFilter operator="notEqual" val=" "/>
      </customFilters>
    </filterColumn>
    <sortState xmlns:xlrd2="http://schemas.microsoft.com/office/spreadsheetml/2017/richdata2" ref="A3:E956">
      <sortCondition ref="A2:A968"/>
    </sortState>
  </autoFilter>
  <mergeCells count="1">
    <mergeCell ref="P1:Q1"/>
  </mergeCells>
  <dataValidations count="1">
    <dataValidation type="list" allowBlank="1" showInputMessage="1" showErrorMessage="1" sqref="E3:E4125" xr:uid="{FEB7C35C-7124-485B-AA9E-977F621AE0DC}">
      <formula1>$H$3:$H$12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F5FD-B0CD-4D82-98BB-8E19EA82B919}">
  <dimension ref="A1:I59"/>
  <sheetViews>
    <sheetView zoomScale="160" zoomScaleNormal="160" workbookViewId="0">
      <selection activeCell="E3" sqref="E3"/>
    </sheetView>
  </sheetViews>
  <sheetFormatPr defaultRowHeight="15" x14ac:dyDescent="0.25"/>
  <cols>
    <col min="1" max="2" width="5.7109375" style="14" customWidth="1"/>
    <col min="3" max="3" width="11.140625" style="14" customWidth="1"/>
    <col min="4" max="4" width="9.140625" style="12" customWidth="1"/>
    <col min="5" max="5" width="26.140625" style="12" bestFit="1" customWidth="1"/>
    <col min="6" max="6" width="13.7109375" style="13" bestFit="1" customWidth="1"/>
    <col min="7" max="7" width="13.5703125" style="69" hidden="1" customWidth="1"/>
    <col min="8" max="8" width="10.5703125" style="12" bestFit="1" customWidth="1"/>
    <col min="9" max="9" width="10" style="12" bestFit="1" customWidth="1"/>
    <col min="10" max="16384" width="9.140625" style="12"/>
  </cols>
  <sheetData>
    <row r="1" spans="1:9" x14ac:dyDescent="0.25">
      <c r="A1" s="16" t="s">
        <v>18</v>
      </c>
      <c r="B1" s="16" t="s">
        <v>17</v>
      </c>
      <c r="C1" s="139" t="s">
        <v>9</v>
      </c>
      <c r="D1" s="140" t="s">
        <v>19</v>
      </c>
      <c r="E1" s="15" t="s">
        <v>15</v>
      </c>
      <c r="F1" s="136" t="s">
        <v>14</v>
      </c>
      <c r="G1" s="70" t="s">
        <v>12</v>
      </c>
    </row>
    <row r="2" spans="1:9" x14ac:dyDescent="0.25">
      <c r="A2" s="14">
        <v>11</v>
      </c>
      <c r="B2" s="14">
        <v>20</v>
      </c>
      <c r="C2" s="89">
        <f ca="1">IF(D2=0,"",41642+(ROUNDUP(DAYS360(41642,D2)/7,0)*7))+21</f>
        <v>45940</v>
      </c>
      <c r="D2" s="8">
        <f t="shared" ref="D2:D31" ca="1" si="0">IF(A2=0,"",IF(TODAY()&gt;DATE(YEAR(TODAY()),A2,B2),DATE(YEAR(TODAY())+1,A2,B2),DATE(YEAR(TODAY()),A2,B2)))</f>
        <v>45981</v>
      </c>
      <c r="E2" s="12" t="s">
        <v>63</v>
      </c>
      <c r="F2" s="117">
        <v>1000</v>
      </c>
      <c r="H2" s="112"/>
      <c r="I2" s="110"/>
    </row>
    <row r="3" spans="1:9" x14ac:dyDescent="0.25">
      <c r="A3" s="14">
        <v>2</v>
      </c>
      <c r="B3" s="14">
        <v>14</v>
      </c>
      <c r="C3" s="89">
        <f ca="1">IF(D3=0,"",41642+(ROUNDUP(DAYS360(41642,D3)/7,0)*7))+21</f>
        <v>46024</v>
      </c>
      <c r="D3" s="8">
        <f t="shared" ca="1" si="0"/>
        <v>46067</v>
      </c>
      <c r="E3" s="12" t="s">
        <v>64</v>
      </c>
      <c r="F3" s="13">
        <v>2000</v>
      </c>
    </row>
    <row r="4" spans="1:9" x14ac:dyDescent="0.25">
      <c r="A4" s="14">
        <v>10</v>
      </c>
      <c r="B4" s="14">
        <v>15</v>
      </c>
      <c r="C4" s="89">
        <f ca="1">IF(D4=0,"",41642+(ROUNDUP(DAYS360(41642,D4)/7,0)*7))+21</f>
        <v>45905</v>
      </c>
      <c r="D4" s="8">
        <f t="shared" ca="1" si="0"/>
        <v>45945</v>
      </c>
      <c r="E4" s="12" t="s">
        <v>65</v>
      </c>
      <c r="F4" s="13">
        <v>10000</v>
      </c>
    </row>
    <row r="5" spans="1:9" x14ac:dyDescent="0.25">
      <c r="A5" s="14">
        <v>9</v>
      </c>
      <c r="B5" s="14">
        <v>5</v>
      </c>
      <c r="C5" s="89">
        <f ca="1">IF(D5=0,"",41642+(ROUNDUP(DAYS360(41642,D5)/7,0)*7))+21</f>
        <v>45870</v>
      </c>
      <c r="D5" s="8">
        <f t="shared" ca="1" si="0"/>
        <v>45905</v>
      </c>
      <c r="E5" s="113" t="s">
        <v>66</v>
      </c>
      <c r="F5" s="13">
        <v>1500</v>
      </c>
    </row>
    <row r="6" spans="1:9" x14ac:dyDescent="0.25">
      <c r="C6" s="89"/>
      <c r="D6" s="8" t="str">
        <f t="shared" ca="1" si="0"/>
        <v/>
      </c>
      <c r="E6" s="113"/>
    </row>
    <row r="7" spans="1:9" x14ac:dyDescent="0.25">
      <c r="C7" s="89"/>
      <c r="D7" s="8" t="str">
        <f t="shared" ca="1" si="0"/>
        <v/>
      </c>
    </row>
    <row r="8" spans="1:9" x14ac:dyDescent="0.25">
      <c r="C8" s="89"/>
      <c r="D8" s="8" t="str">
        <f t="shared" ca="1" si="0"/>
        <v/>
      </c>
    </row>
    <row r="9" spans="1:9" x14ac:dyDescent="0.25">
      <c r="C9" s="89"/>
      <c r="D9" s="8" t="str">
        <f t="shared" ca="1" si="0"/>
        <v/>
      </c>
    </row>
    <row r="10" spans="1:9" x14ac:dyDescent="0.25">
      <c r="C10" s="89"/>
      <c r="D10" s="8" t="str">
        <f t="shared" ca="1" si="0"/>
        <v/>
      </c>
    </row>
    <row r="11" spans="1:9" x14ac:dyDescent="0.25">
      <c r="C11" s="89"/>
      <c r="D11" s="8" t="str">
        <f t="shared" ca="1" si="0"/>
        <v/>
      </c>
    </row>
    <row r="12" spans="1:9" x14ac:dyDescent="0.25">
      <c r="C12" s="89"/>
      <c r="D12" s="8" t="str">
        <f t="shared" ca="1" si="0"/>
        <v/>
      </c>
    </row>
    <row r="13" spans="1:9" x14ac:dyDescent="0.25">
      <c r="C13" s="89"/>
      <c r="D13" s="8" t="str">
        <f t="shared" ca="1" si="0"/>
        <v/>
      </c>
    </row>
    <row r="14" spans="1:9" x14ac:dyDescent="0.25">
      <c r="C14" s="89"/>
      <c r="D14" s="8" t="str">
        <f t="shared" ca="1" si="0"/>
        <v/>
      </c>
    </row>
    <row r="15" spans="1:9" x14ac:dyDescent="0.25">
      <c r="C15" s="89"/>
      <c r="D15" s="8" t="str">
        <f t="shared" ca="1" si="0"/>
        <v/>
      </c>
    </row>
    <row r="16" spans="1:9" x14ac:dyDescent="0.25">
      <c r="C16" s="89"/>
      <c r="D16" s="8" t="str">
        <f t="shared" ca="1" si="0"/>
        <v/>
      </c>
    </row>
    <row r="17" spans="3:8" x14ac:dyDescent="0.25">
      <c r="C17" s="89"/>
      <c r="D17" s="8" t="str">
        <f t="shared" ca="1" si="0"/>
        <v/>
      </c>
    </row>
    <row r="18" spans="3:8" x14ac:dyDescent="0.25">
      <c r="C18" s="89"/>
      <c r="D18" s="8" t="str">
        <f t="shared" ca="1" si="0"/>
        <v/>
      </c>
    </row>
    <row r="19" spans="3:8" x14ac:dyDescent="0.25">
      <c r="C19" s="89"/>
      <c r="D19" s="8" t="str">
        <f t="shared" ca="1" si="0"/>
        <v/>
      </c>
    </row>
    <row r="20" spans="3:8" x14ac:dyDescent="0.25">
      <c r="C20" s="89"/>
      <c r="D20" s="8" t="str">
        <f t="shared" ca="1" si="0"/>
        <v/>
      </c>
    </row>
    <row r="21" spans="3:8" x14ac:dyDescent="0.25">
      <c r="C21" s="89"/>
      <c r="D21" s="104" t="str">
        <f t="shared" ca="1" si="0"/>
        <v/>
      </c>
      <c r="G21" s="68"/>
    </row>
    <row r="22" spans="3:8" x14ac:dyDescent="0.25">
      <c r="C22" s="89"/>
      <c r="D22" s="8" t="str">
        <f t="shared" ca="1" si="0"/>
        <v/>
      </c>
      <c r="G22" s="68"/>
    </row>
    <row r="23" spans="3:8" x14ac:dyDescent="0.25">
      <c r="C23" s="89"/>
      <c r="D23" s="8" t="str">
        <f t="shared" ca="1" si="0"/>
        <v/>
      </c>
      <c r="G23" s="68"/>
    </row>
    <row r="24" spans="3:8" x14ac:dyDescent="0.25">
      <c r="C24" s="89"/>
      <c r="D24" s="8" t="str">
        <f t="shared" ca="1" si="0"/>
        <v/>
      </c>
      <c r="G24" s="68"/>
    </row>
    <row r="25" spans="3:8" x14ac:dyDescent="0.25">
      <c r="C25" s="89"/>
      <c r="D25" s="8" t="str">
        <f t="shared" ca="1" si="0"/>
        <v/>
      </c>
      <c r="G25" s="68"/>
    </row>
    <row r="26" spans="3:8" x14ac:dyDescent="0.25">
      <c r="C26" s="89"/>
      <c r="D26" s="8" t="str">
        <f t="shared" ca="1" si="0"/>
        <v/>
      </c>
      <c r="G26" s="68"/>
    </row>
    <row r="27" spans="3:8" x14ac:dyDescent="0.25">
      <c r="C27" s="89"/>
      <c r="D27" s="8" t="str">
        <f t="shared" ca="1" si="0"/>
        <v/>
      </c>
      <c r="G27" s="68"/>
    </row>
    <row r="28" spans="3:8" x14ac:dyDescent="0.25">
      <c r="C28" s="89"/>
      <c r="D28" s="8" t="str">
        <f t="shared" ca="1" si="0"/>
        <v/>
      </c>
      <c r="G28" s="68"/>
    </row>
    <row r="29" spans="3:8" x14ac:dyDescent="0.25">
      <c r="C29" s="89"/>
      <c r="D29" s="8" t="str">
        <f t="shared" ca="1" si="0"/>
        <v/>
      </c>
    </row>
    <row r="30" spans="3:8" x14ac:dyDescent="0.25">
      <c r="C30" s="89"/>
      <c r="D30" s="8" t="str">
        <f t="shared" ca="1" si="0"/>
        <v/>
      </c>
      <c r="G30" s="68"/>
    </row>
    <row r="31" spans="3:8" x14ac:dyDescent="0.25">
      <c r="C31" s="89"/>
      <c r="D31" s="8" t="str">
        <f t="shared" ca="1" si="0"/>
        <v/>
      </c>
      <c r="G31" s="68"/>
      <c r="H31" s="105"/>
    </row>
    <row r="32" spans="3:8" x14ac:dyDescent="0.25">
      <c r="C32" s="68"/>
      <c r="D32" s="61" t="str">
        <f t="shared" ref="D32:D58" si="1">IF(C32=0,"",41642+(ROUNDUP(DAYS360(41642,C32)/7,0)*7))</f>
        <v/>
      </c>
    </row>
    <row r="33" spans="3:4" x14ac:dyDescent="0.25">
      <c r="C33" s="68"/>
      <c r="D33" s="61" t="str">
        <f t="shared" si="1"/>
        <v/>
      </c>
    </row>
    <row r="34" spans="3:4" x14ac:dyDescent="0.25">
      <c r="C34" s="68"/>
      <c r="D34" s="61" t="str">
        <f t="shared" si="1"/>
        <v/>
      </c>
    </row>
    <row r="35" spans="3:4" x14ac:dyDescent="0.25">
      <c r="C35" s="68"/>
      <c r="D35" s="61" t="str">
        <f t="shared" si="1"/>
        <v/>
      </c>
    </row>
    <row r="36" spans="3:4" x14ac:dyDescent="0.25">
      <c r="C36" s="68"/>
      <c r="D36" s="61" t="str">
        <f t="shared" si="1"/>
        <v/>
      </c>
    </row>
    <row r="37" spans="3:4" x14ac:dyDescent="0.25">
      <c r="C37" s="68"/>
      <c r="D37" s="61" t="str">
        <f t="shared" si="1"/>
        <v/>
      </c>
    </row>
    <row r="38" spans="3:4" x14ac:dyDescent="0.25">
      <c r="C38" s="68"/>
      <c r="D38" s="61" t="str">
        <f t="shared" si="1"/>
        <v/>
      </c>
    </row>
    <row r="39" spans="3:4" x14ac:dyDescent="0.25">
      <c r="C39" s="68"/>
      <c r="D39" s="61" t="str">
        <f t="shared" si="1"/>
        <v/>
      </c>
    </row>
    <row r="40" spans="3:4" x14ac:dyDescent="0.25">
      <c r="C40" s="68"/>
      <c r="D40" s="61" t="str">
        <f t="shared" si="1"/>
        <v/>
      </c>
    </row>
    <row r="41" spans="3:4" x14ac:dyDescent="0.25">
      <c r="C41" s="68"/>
      <c r="D41" s="61" t="str">
        <f t="shared" si="1"/>
        <v/>
      </c>
    </row>
    <row r="42" spans="3:4" x14ac:dyDescent="0.25">
      <c r="C42" s="68"/>
      <c r="D42" s="61" t="str">
        <f t="shared" si="1"/>
        <v/>
      </c>
    </row>
    <row r="43" spans="3:4" x14ac:dyDescent="0.25">
      <c r="C43" s="68"/>
      <c r="D43" s="61" t="str">
        <f t="shared" si="1"/>
        <v/>
      </c>
    </row>
    <row r="44" spans="3:4" x14ac:dyDescent="0.25">
      <c r="C44" s="68"/>
      <c r="D44" s="61" t="str">
        <f t="shared" si="1"/>
        <v/>
      </c>
    </row>
    <row r="45" spans="3:4" x14ac:dyDescent="0.25">
      <c r="C45" s="68"/>
      <c r="D45" s="61" t="str">
        <f t="shared" si="1"/>
        <v/>
      </c>
    </row>
    <row r="46" spans="3:4" x14ac:dyDescent="0.25">
      <c r="C46" s="68"/>
      <c r="D46" s="61" t="str">
        <f t="shared" si="1"/>
        <v/>
      </c>
    </row>
    <row r="47" spans="3:4" x14ac:dyDescent="0.25">
      <c r="C47" s="68"/>
      <c r="D47" s="61" t="str">
        <f t="shared" si="1"/>
        <v/>
      </c>
    </row>
    <row r="48" spans="3:4" x14ac:dyDescent="0.25">
      <c r="C48" s="68"/>
      <c r="D48" s="61" t="str">
        <f t="shared" si="1"/>
        <v/>
      </c>
    </row>
    <row r="49" spans="1:4" x14ac:dyDescent="0.25">
      <c r="C49" s="68"/>
      <c r="D49" s="61" t="str">
        <f t="shared" si="1"/>
        <v/>
      </c>
    </row>
    <row r="50" spans="1:4" x14ac:dyDescent="0.25">
      <c r="C50" s="68"/>
      <c r="D50" s="61" t="str">
        <f t="shared" si="1"/>
        <v/>
      </c>
    </row>
    <row r="51" spans="1:4" x14ac:dyDescent="0.25">
      <c r="C51" s="68"/>
      <c r="D51" s="61" t="str">
        <f t="shared" si="1"/>
        <v/>
      </c>
    </row>
    <row r="52" spans="1:4" x14ac:dyDescent="0.25">
      <c r="C52" s="68"/>
      <c r="D52" s="61" t="str">
        <f t="shared" si="1"/>
        <v/>
      </c>
    </row>
    <row r="53" spans="1:4" x14ac:dyDescent="0.25">
      <c r="C53" s="68"/>
      <c r="D53" s="61" t="str">
        <f t="shared" si="1"/>
        <v/>
      </c>
    </row>
    <row r="54" spans="1:4" x14ac:dyDescent="0.25">
      <c r="C54" s="68"/>
      <c r="D54" s="61" t="str">
        <f t="shared" si="1"/>
        <v/>
      </c>
    </row>
    <row r="55" spans="1:4" x14ac:dyDescent="0.25">
      <c r="C55" s="68"/>
      <c r="D55" s="61" t="str">
        <f t="shared" si="1"/>
        <v/>
      </c>
    </row>
    <row r="56" spans="1:4" x14ac:dyDescent="0.25">
      <c r="C56" s="68"/>
      <c r="D56" s="61" t="str">
        <f t="shared" si="1"/>
        <v/>
      </c>
    </row>
    <row r="57" spans="1:4" x14ac:dyDescent="0.25">
      <c r="C57" s="68"/>
      <c r="D57" s="61" t="str">
        <f t="shared" si="1"/>
        <v/>
      </c>
    </row>
    <row r="58" spans="1:4" x14ac:dyDescent="0.25">
      <c r="C58" s="68"/>
      <c r="D58" s="61" t="str">
        <f t="shared" si="1"/>
        <v/>
      </c>
    </row>
    <row r="59" spans="1:4" x14ac:dyDescent="0.25">
      <c r="A59" s="106"/>
    </row>
  </sheetData>
  <autoFilter ref="A1:G58" xr:uid="{16C21157-9411-4380-AE02-FE124A07589E}">
    <sortState xmlns:xlrd2="http://schemas.microsoft.com/office/spreadsheetml/2017/richdata2" ref="A2:G31">
      <sortCondition sortBy="cellColor" ref="A1:A58" dxfId="7"/>
    </sortState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CD2D-F369-4122-8622-DA537AB99828}">
  <sheetPr filterMode="1"/>
  <dimension ref="C2:K20"/>
  <sheetViews>
    <sheetView workbookViewId="0">
      <selection activeCell="G20" sqref="G20"/>
    </sheetView>
  </sheetViews>
  <sheetFormatPr defaultRowHeight="15" x14ac:dyDescent="0.25"/>
  <cols>
    <col min="3" max="3" width="15" bestFit="1" customWidth="1"/>
    <col min="4" max="4" width="20.28515625" bestFit="1" customWidth="1"/>
    <col min="6" max="6" width="15.5703125" bestFit="1" customWidth="1"/>
  </cols>
  <sheetData>
    <row r="2" spans="3:11" x14ac:dyDescent="0.25">
      <c r="J2" t="s">
        <v>55</v>
      </c>
      <c r="K2">
        <v>1</v>
      </c>
    </row>
    <row r="3" spans="3:11" x14ac:dyDescent="0.25">
      <c r="J3" t="s">
        <v>44</v>
      </c>
      <c r="K3">
        <v>15</v>
      </c>
    </row>
    <row r="5" spans="3:11" x14ac:dyDescent="0.25">
      <c r="C5" t="s">
        <v>10</v>
      </c>
      <c r="D5" t="s">
        <v>49</v>
      </c>
      <c r="E5" t="s">
        <v>11</v>
      </c>
      <c r="F5" t="s">
        <v>16</v>
      </c>
    </row>
    <row r="6" spans="3:11" hidden="1" x14ac:dyDescent="0.25">
      <c r="C6" t="s">
        <v>47</v>
      </c>
      <c r="D6">
        <v>5</v>
      </c>
      <c r="E6">
        <v>1500</v>
      </c>
      <c r="F6" t="s">
        <v>50</v>
      </c>
      <c r="H6">
        <f>+E6*1.2</f>
        <v>1800</v>
      </c>
    </row>
    <row r="7" spans="3:11" x14ac:dyDescent="0.25">
      <c r="C7" t="s">
        <v>51</v>
      </c>
      <c r="D7">
        <v>30</v>
      </c>
      <c r="E7">
        <v>2500</v>
      </c>
      <c r="F7" t="s">
        <v>52</v>
      </c>
    </row>
    <row r="8" spans="3:11" x14ac:dyDescent="0.25">
      <c r="C8" t="s">
        <v>53</v>
      </c>
      <c r="D8">
        <v>25</v>
      </c>
      <c r="E8">
        <v>10000</v>
      </c>
      <c r="F8" t="s">
        <v>52</v>
      </c>
    </row>
    <row r="9" spans="3:11" hidden="1" x14ac:dyDescent="0.25">
      <c r="C9" t="s">
        <v>54</v>
      </c>
      <c r="D9">
        <v>16</v>
      </c>
      <c r="E9">
        <v>2000</v>
      </c>
      <c r="F9" t="s">
        <v>44</v>
      </c>
      <c r="H9">
        <f>+E9*1.2</f>
        <v>2400</v>
      </c>
    </row>
    <row r="10" spans="3:11" x14ac:dyDescent="0.25">
      <c r="C10" t="s">
        <v>56</v>
      </c>
      <c r="D10">
        <v>1</v>
      </c>
      <c r="E10">
        <v>500</v>
      </c>
      <c r="F10" t="s">
        <v>52</v>
      </c>
    </row>
    <row r="11" spans="3:11" x14ac:dyDescent="0.25">
      <c r="C11" t="s">
        <v>56</v>
      </c>
      <c r="D11">
        <v>7</v>
      </c>
      <c r="E11">
        <v>500</v>
      </c>
      <c r="F11" t="s">
        <v>52</v>
      </c>
    </row>
    <row r="12" spans="3:11" x14ac:dyDescent="0.25">
      <c r="C12" t="s">
        <v>56</v>
      </c>
      <c r="D12">
        <v>14</v>
      </c>
      <c r="E12">
        <v>500</v>
      </c>
      <c r="F12" t="s">
        <v>52</v>
      </c>
    </row>
    <row r="13" spans="3:11" x14ac:dyDescent="0.25">
      <c r="C13" t="s">
        <v>56</v>
      </c>
      <c r="D13">
        <v>21</v>
      </c>
      <c r="E13">
        <v>500</v>
      </c>
      <c r="F13" t="s">
        <v>52</v>
      </c>
    </row>
    <row r="14" spans="3:11" hidden="1" x14ac:dyDescent="0.25">
      <c r="C14" t="s">
        <v>58</v>
      </c>
      <c r="E14">
        <v>600</v>
      </c>
      <c r="F14" t="s">
        <v>50</v>
      </c>
    </row>
    <row r="15" spans="3:11" hidden="1" x14ac:dyDescent="0.25">
      <c r="C15" t="s">
        <v>59</v>
      </c>
      <c r="E15">
        <v>600</v>
      </c>
      <c r="F15" t="s">
        <v>44</v>
      </c>
    </row>
    <row r="16" spans="3:11" x14ac:dyDescent="0.25">
      <c r="C16" t="s">
        <v>60</v>
      </c>
      <c r="E16">
        <v>600</v>
      </c>
      <c r="F16" t="s">
        <v>52</v>
      </c>
    </row>
    <row r="17" spans="3:6" x14ac:dyDescent="0.25">
      <c r="C17" t="s">
        <v>61</v>
      </c>
      <c r="E17">
        <v>600</v>
      </c>
      <c r="F17" t="s">
        <v>52</v>
      </c>
    </row>
    <row r="19" spans="3:6" x14ac:dyDescent="0.25">
      <c r="E19">
        <f>SUBTOTAL(9,E6:E18)</f>
        <v>15700</v>
      </c>
    </row>
    <row r="20" spans="3:6" x14ac:dyDescent="0.25">
      <c r="E20">
        <f>+E19*1.15</f>
        <v>18055</v>
      </c>
    </row>
  </sheetData>
  <autoFilter ref="C5:F17" xr:uid="{629861A0-BBC2-4F42-8268-600B92B9D270}">
    <filterColumn colId="3">
      <filters>
        <filter val="banco popular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Balance</vt:lpstr>
      <vt:lpstr>Misselaneos </vt:lpstr>
      <vt:lpstr>Eventos</vt:lpstr>
      <vt:lpstr>Sheet2</vt:lpstr>
      <vt:lpstr>_TAR1</vt:lpstr>
      <vt:lpstr>_TAR2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smendez</dc:creator>
  <cp:lastModifiedBy>Samuel Mendieta Brito</cp:lastModifiedBy>
  <cp:lastPrinted>2019-03-22T20:59:52Z</cp:lastPrinted>
  <dcterms:created xsi:type="dcterms:W3CDTF">2014-07-23T19:41:56Z</dcterms:created>
  <dcterms:modified xsi:type="dcterms:W3CDTF">2025-08-08T23:07:08Z</dcterms:modified>
</cp:coreProperties>
</file>